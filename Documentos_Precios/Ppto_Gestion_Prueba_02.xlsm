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:\Unidades compartidas\Dyven\Macros\"/>
    </mc:Choice>
  </mc:AlternateContent>
  <xr:revisionPtr revIDLastSave="0" documentId="13_ncr:1_{A0F027C8-9D4C-4B29-9656-5195529523CD}" xr6:coauthVersionLast="47" xr6:coauthVersionMax="47" xr10:uidLastSave="{00000000-0000-0000-0000-000000000000}"/>
  <bookViews>
    <workbookView xWindow="-120" yWindow="-120" windowWidth="29040" windowHeight="17520" xr2:uid="{4F45B84B-63D5-477A-8DCF-6BBD9E3FF963}"/>
  </bookViews>
  <sheets>
    <sheet name="01_DATOS_GENERALES" sheetId="13" r:id="rId1"/>
    <sheet name="A_RESUMEN" sheetId="6" r:id="rId2"/>
    <sheet name="B_PRESUPUESTO" sheetId="7" r:id="rId3"/>
    <sheet name="C_SOBRECOSTO" sheetId="9" r:id="rId4"/>
    <sheet name="D_CONTROL_KARKOR" sheetId="1" r:id="rId5"/>
    <sheet name="D_CONTROL_DYVEN" sheetId="10" r:id="rId6"/>
    <sheet name="E_RESUMEN_MAT" sheetId="5" r:id="rId7"/>
    <sheet name="02_REF_TAB" sheetId="2" r:id="rId8"/>
    <sheet name="03_REF_DATOS" sheetId="8" r:id="rId9"/>
  </sheets>
  <externalReferences>
    <externalReference r:id="rId10"/>
    <externalReference r:id="rId11"/>
    <externalReference r:id="rId12"/>
  </externalReferences>
  <definedNames>
    <definedName name="__123Graph_B" localSheetId="3" hidden="1">'[1]concentrado Xoxtla'!#REF!</definedName>
    <definedName name="__123Graph_B" hidden="1">'[1]concentrado Xoxtla'!#REF!</definedName>
    <definedName name="_A123" localSheetId="8" hidden="1">{#N/A,#N/A,FALSE,"ABR95"}</definedName>
    <definedName name="_A123" localSheetId="2" hidden="1">{#N/A,#N/A,FALSE,"ABR95"}</definedName>
    <definedName name="_A123" localSheetId="3" hidden="1">{#N/A,#N/A,FALSE,"ABR95"}</definedName>
    <definedName name="_A123" hidden="1">{#N/A,#N/A,FALSE,"ABR95"}</definedName>
    <definedName name="_A12345" localSheetId="8" hidden="1">{#N/A,#N/A,FALSE,"ABR95"}</definedName>
    <definedName name="_A12345" localSheetId="2" hidden="1">{#N/A,#N/A,FALSE,"ABR95"}</definedName>
    <definedName name="_A12345" localSheetId="3" hidden="1">{#N/A,#N/A,FALSE,"ABR95"}</definedName>
    <definedName name="_A12345" hidden="1">{#N/A,#N/A,FALSE,"ABR95"}</definedName>
    <definedName name="_xlnm._FilterDatabase" localSheetId="2" hidden="1">B_PRESUPUESTO!#REF!</definedName>
    <definedName name="_Key1" localSheetId="3" hidden="1">#REF!</definedName>
    <definedName name="_Key1" hidden="1">#REF!</definedName>
    <definedName name="_Order1" hidden="1">255</definedName>
    <definedName name="_Sort" localSheetId="3" hidden="1">#REF!</definedName>
    <definedName name="_Sort" hidden="1">#REF!</definedName>
    <definedName name="_xleta.AND" hidden="1" xlm="1">#NAME?</definedName>
    <definedName name="_xleta.IF" hidden="1" xlm="1">#NAME?</definedName>
    <definedName name="_xleta.IFERROR" hidden="1" xlm="1">#NAME?</definedName>
    <definedName name="_xleta.IFS" hidden="1" xlm="1">#NAME?</definedName>
    <definedName name="_xleta.ISERROR" hidden="1" xlm="1">#NAME?</definedName>
    <definedName name="_xleta.LOOKUP" hidden="1" xlm="1">#NAME?</definedName>
    <definedName name="_xleta.OR" hidden="1" xlm="1">#NAME?</definedName>
    <definedName name="_xleta.SUM" hidden="1" xlm="1">#NAME?</definedName>
    <definedName name="_xlpm._" hidden="1" xlm="1">#NAME?</definedName>
    <definedName name="_xlpm._C" hidden="1" xlm="1">#NAME?</definedName>
    <definedName name="_xlpm._Cdigo" hidden="1" xlm="1">#NAME?</definedName>
    <definedName name="_xlpm._Co" hidden="1" xlm="1">#NAME?</definedName>
    <definedName name="_xlpm._Có" hidden="1" xlm="1">#NAME?</definedName>
    <definedName name="_xlpm._Cod" hidden="1" xlm="1">#NAME?</definedName>
    <definedName name="_xlpm._Cód" hidden="1" xlm="1">#NAME?</definedName>
    <definedName name="_xlpm._Codi" hidden="1" xlm="1">#NAME?</definedName>
    <definedName name="_xlpm._Códi" hidden="1" xlm="1">#NAME?</definedName>
    <definedName name="_xlpm._Codig" hidden="1" xlm="1">#NAME?</definedName>
    <definedName name="_xlpm._Códig" hidden="1" xlm="1">#NAME?</definedName>
    <definedName name="_xlpm._Codigo" hidden="1" xlm="1">#NAME?</definedName>
    <definedName name="_xlpm._Código" hidden="1" xlm="1">#NAME?</definedName>
    <definedName name="_xlpm._Descripción" hidden="1" xlm="1">#NAME?</definedName>
    <definedName name="_xlpm._Lote" hidden="1" xlm="1">#NAME?</definedName>
    <definedName name="_xlpm._Unidad" hidden="1" xlm="1">#NAME?</definedName>
    <definedName name="_xlpm.Descripción" hidden="1" xlm="1">#NAME?</definedName>
    <definedName name="_xlpm.Lote" hidden="1" xlm="1">#NAME?</definedName>
    <definedName name="AA" localSheetId="8" hidden="1">{#N/A,#N/A,FALSE,"ABR95"}</definedName>
    <definedName name="AA" localSheetId="2" hidden="1">{#N/A,#N/A,FALSE,"ABR95"}</definedName>
    <definedName name="AA" localSheetId="3" hidden="1">{#N/A,#N/A,FALSE,"ABR95"}</definedName>
    <definedName name="AA" hidden="1">{#N/A,#N/A,FALSE,"ABR95"}</definedName>
    <definedName name="AAACDE" localSheetId="8" hidden="1">{#N/A,#N/A,FALSE,"ABR95"}</definedName>
    <definedName name="AAACDE" localSheetId="2" hidden="1">{#N/A,#N/A,FALSE,"ABR95"}</definedName>
    <definedName name="AAACDE" localSheetId="3" hidden="1">{#N/A,#N/A,FALSE,"ABR95"}</definedName>
    <definedName name="AAACDE" hidden="1">{#N/A,#N/A,FALSE,"ABR95"}</definedName>
    <definedName name="ALBI" localSheetId="8" hidden="1">{#N/A,#N/A,FALSE,"ABR95"}</definedName>
    <definedName name="ALBI" localSheetId="2" hidden="1">{#N/A,#N/A,FALSE,"ABR95"}</definedName>
    <definedName name="ALBI" localSheetId="3" hidden="1">{#N/A,#N/A,FALSE,"ABR95"}</definedName>
    <definedName name="ALBI" hidden="1">{#N/A,#N/A,FALSE,"ABR95"}</definedName>
    <definedName name="_xlnm.Print_Area" localSheetId="2">B_PRESUPUESTO!$A$1:$H$72</definedName>
    <definedName name="_xlnm.Print_Area" localSheetId="3">C_SOBRECOSTO!$A$1:$BM$224</definedName>
    <definedName name="AS" localSheetId="8" hidden="1">{#N/A,#N/A,FALSE,"ABR95"}</definedName>
    <definedName name="AS" localSheetId="2" hidden="1">{#N/A,#N/A,FALSE,"ABR95"}</definedName>
    <definedName name="AS" localSheetId="3" hidden="1">{#N/A,#N/A,FALSE,"ABR95"}</definedName>
    <definedName name="AS" hidden="1">{#N/A,#N/A,FALSE,"ABR95"}</definedName>
    <definedName name="BABLI" localSheetId="8" hidden="1">{#N/A,#N/A,FALSE,"ABR95"}</definedName>
    <definedName name="BABLI" localSheetId="2" hidden="1">{#N/A,#N/A,FALSE,"ABR95"}</definedName>
    <definedName name="BABLI" localSheetId="3" hidden="1">{#N/A,#N/A,FALSE,"ABR95"}</definedName>
    <definedName name="BABLI" hidden="1">{#N/A,#N/A,FALSE,"ABR95"}</definedName>
    <definedName name="BALAS" localSheetId="8" hidden="1">{#N/A,#N/A,FALSE,"ABR95"}</definedName>
    <definedName name="BALAS" localSheetId="2" hidden="1">{#N/A,#N/A,FALSE,"ABR95"}</definedName>
    <definedName name="BALAS" localSheetId="3" hidden="1">{#N/A,#N/A,FALSE,"ABR95"}</definedName>
    <definedName name="BALAS" hidden="1">{#N/A,#N/A,FALSE,"ABR95"}</definedName>
    <definedName name="BALASTR" localSheetId="8" hidden="1">{#N/A,#N/A,FALSE,"ABR95"}</definedName>
    <definedName name="BALASTR" localSheetId="2" hidden="1">{#N/A,#N/A,FALSE,"ABR95"}</definedName>
    <definedName name="BALASTR" localSheetId="3" hidden="1">{#N/A,#N/A,FALSE,"ABR95"}</definedName>
    <definedName name="BALASTR" hidden="1">{#N/A,#N/A,FALSE,"ABR95"}</definedName>
    <definedName name="BALASTRO" localSheetId="8" hidden="1">{#N/A,#N/A,FALSE,"ABR95"}</definedName>
    <definedName name="BALASTRO" localSheetId="2" hidden="1">{#N/A,#N/A,FALSE,"ABR95"}</definedName>
    <definedName name="BALASTRO" localSheetId="3" hidden="1">{#N/A,#N/A,FALSE,"ABR95"}</definedName>
    <definedName name="BALASTRO" hidden="1">{#N/A,#N/A,FALSE,"ABR95"}</definedName>
    <definedName name="BLASTRO" localSheetId="8" hidden="1">{#N/A,#N/A,FALSE,"ABR95"}</definedName>
    <definedName name="BLASTRO" localSheetId="2" hidden="1">{#N/A,#N/A,FALSE,"ABR95"}</definedName>
    <definedName name="BLASTRO" localSheetId="3" hidden="1">{#N/A,#N/A,FALSE,"ABR95"}</definedName>
    <definedName name="BLASTRO" hidden="1">{#N/A,#N/A,FALSE,"ABR95"}</definedName>
    <definedName name="ca" localSheetId="3" hidden="1">#REF!</definedName>
    <definedName name="ca" hidden="1">#REF!</definedName>
    <definedName name="Codigo">OFFSET('02_REF_TAB'!#REF!,0,0,COUNTA('02_REF_TAB'!$A:$A)-1,1)</definedName>
    <definedName name="CORE" localSheetId="8" hidden="1">{#N/A,#N/A,FALSE,"ABR95"}</definedName>
    <definedName name="CORE" localSheetId="2" hidden="1">{#N/A,#N/A,FALSE,"ABR95"}</definedName>
    <definedName name="CORE" localSheetId="3" hidden="1">{#N/A,#N/A,FALSE,"ABR95"}</definedName>
    <definedName name="CORE" hidden="1">{#N/A,#N/A,FALSE,"ABR95"}</definedName>
    <definedName name="D" localSheetId="8" hidden="1">{#N/A,#N/A,FALSE,"ABR95"}</definedName>
    <definedName name="D" localSheetId="2" hidden="1">{#N/A,#N/A,FALSE,"ABR95"}</definedName>
    <definedName name="D" localSheetId="3" hidden="1">{#N/A,#N/A,FALSE,"ABR95"}</definedName>
    <definedName name="D" hidden="1">{#N/A,#N/A,FALSE,"ABR95"}</definedName>
    <definedName name="DDDD" localSheetId="8" hidden="1">{#N/A,#N/A,FALSE,"ABR95"}</definedName>
    <definedName name="DDDD" localSheetId="2" hidden="1">{#N/A,#N/A,FALSE,"ABR95"}</definedName>
    <definedName name="DDDD" localSheetId="3" hidden="1">{#N/A,#N/A,FALSE,"ABR95"}</definedName>
    <definedName name="DDDD" hidden="1">{#N/A,#N/A,FALSE,"ABR95"}</definedName>
    <definedName name="DEFRE" localSheetId="8" hidden="1">{#N/A,#N/A,FALSE,"ABR95"}</definedName>
    <definedName name="DEFRE" localSheetId="2" hidden="1">{#N/A,#N/A,FALSE,"ABR95"}</definedName>
    <definedName name="DEFRE" localSheetId="3" hidden="1">{#N/A,#N/A,FALSE,"ABR95"}</definedName>
    <definedName name="DEFRE" hidden="1">{#N/A,#N/A,FALSE,"ABR95"}</definedName>
    <definedName name="DES" localSheetId="8" hidden="1">{#N/A,#N/A,FALSE,"ABR95"}</definedName>
    <definedName name="DES" localSheetId="2" hidden="1">{#N/A,#N/A,FALSE,"ABR95"}</definedName>
    <definedName name="DES" localSheetId="3" hidden="1">{#N/A,#N/A,FALSE,"ABR95"}</definedName>
    <definedName name="DES" hidden="1">{#N/A,#N/A,FALSE,"ABR95"}</definedName>
    <definedName name="DESPALCORTE" localSheetId="8" hidden="1">{#N/A,#N/A,FALSE,"ABR95"}</definedName>
    <definedName name="DESPALCORTE" localSheetId="2" hidden="1">{#N/A,#N/A,FALSE,"ABR95"}</definedName>
    <definedName name="DESPALCORTE" localSheetId="3" hidden="1">{#N/A,#N/A,FALSE,"ABR95"}</definedName>
    <definedName name="DESPALCORTE" hidden="1">{#N/A,#N/A,FALSE,"ABR95"}</definedName>
    <definedName name="DESPALM" localSheetId="8" hidden="1">{#N/A,#N/A,FALSE,"ABR95"}</definedName>
    <definedName name="DESPALM" localSheetId="2" hidden="1">{#N/A,#N/A,FALSE,"ABR95"}</definedName>
    <definedName name="DESPALM" localSheetId="3" hidden="1">{#N/A,#N/A,FALSE,"ABR95"}</definedName>
    <definedName name="DESPALM" hidden="1">{#N/A,#N/A,FALSE,"ABR95"}</definedName>
    <definedName name="DESPALMETE" localSheetId="8" hidden="1">{#N/A,#N/A,FALSE,"ABR95"}</definedName>
    <definedName name="DESPALMETE" localSheetId="2" hidden="1">{#N/A,#N/A,FALSE,"ABR95"}</definedName>
    <definedName name="DESPALMETE" localSheetId="3" hidden="1">{#N/A,#N/A,FALSE,"ABR95"}</definedName>
    <definedName name="DESPALMETE" hidden="1">{#N/A,#N/A,FALSE,"ABR95"}</definedName>
    <definedName name="DF" localSheetId="8" hidden="1">{#N/A,#N/A,FALSE,"ABR95"}</definedName>
    <definedName name="DF" localSheetId="2" hidden="1">{#N/A,#N/A,FALSE,"ABR95"}</definedName>
    <definedName name="DF" localSheetId="3" hidden="1">{#N/A,#N/A,FALSE,"ABR95"}</definedName>
    <definedName name="DF" hidden="1">{#N/A,#N/A,FALSE,"ABR95"}</definedName>
    <definedName name="DREE" localSheetId="8" hidden="1">{#N/A,#N/A,FALSE,"ABR95"}</definedName>
    <definedName name="DREE" localSheetId="2" hidden="1">{#N/A,#N/A,FALSE,"ABR95"}</definedName>
    <definedName name="DREE" localSheetId="3" hidden="1">{#N/A,#N/A,FALSE,"ABR95"}</definedName>
    <definedName name="DREE" hidden="1">{#N/A,#N/A,FALSE,"ABR95"}</definedName>
    <definedName name="DS" localSheetId="8" hidden="1">{#N/A,#N/A,FALSE,"ABR95"}</definedName>
    <definedName name="DS" localSheetId="2" hidden="1">{#N/A,#N/A,FALSE,"ABR95"}</definedName>
    <definedName name="DS" localSheetId="3" hidden="1">{#N/A,#N/A,FALSE,"ABR95"}</definedName>
    <definedName name="DS" hidden="1">{#N/A,#N/A,FALSE,"ABR95"}</definedName>
    <definedName name="FF" localSheetId="8" hidden="1">{#N/A,#N/A,FALSE,"ABR95"}</definedName>
    <definedName name="FF" localSheetId="2" hidden="1">{#N/A,#N/A,FALSE,"ABR95"}</definedName>
    <definedName name="FF" localSheetId="3" hidden="1">{#N/A,#N/A,FALSE,"ABR95"}</definedName>
    <definedName name="FF" hidden="1">{#N/A,#N/A,FALSE,"ABR95"}</definedName>
    <definedName name="FFF" localSheetId="8" hidden="1">{#N/A,#N/A,FALSE,"ABR95"}</definedName>
    <definedName name="FFF" localSheetId="2" hidden="1">{#N/A,#N/A,FALSE,"ABR95"}</definedName>
    <definedName name="FFF" localSheetId="3" hidden="1">{#N/A,#N/A,FALSE,"ABR95"}</definedName>
    <definedName name="FFF" hidden="1">{#N/A,#N/A,FALSE,"ABR95"}</definedName>
    <definedName name="FFRR" localSheetId="8" hidden="1">{#N/A,#N/A,FALSE,"ABR95"}</definedName>
    <definedName name="FFRR" localSheetId="2" hidden="1">{#N/A,#N/A,FALSE,"ABR95"}</definedName>
    <definedName name="FFRR" localSheetId="3" hidden="1">{#N/A,#N/A,FALSE,"ABR95"}</definedName>
    <definedName name="FFRR" hidden="1">{#N/A,#N/A,FALSE,"ABR95"}</definedName>
    <definedName name="foto" localSheetId="3" hidden="1">#REF!</definedName>
    <definedName name="foto" hidden="1">#REF!</definedName>
    <definedName name="fotos" localSheetId="3" hidden="1">#REF!</definedName>
    <definedName name="fotos" hidden="1">#REF!</definedName>
    <definedName name="FromOrganiz_1">_xlfn.ANCHORARRAY('02_REF_TAB'!#REF!)</definedName>
    <definedName name="FSC">[2]Cierre!$H$47</definedName>
    <definedName name="GFDS" localSheetId="8" hidden="1">{#N/A,#N/A,FALSE,"ABR95"}</definedName>
    <definedName name="GFDS" localSheetId="2" hidden="1">{#N/A,#N/A,FALSE,"ABR95"}</definedName>
    <definedName name="GFDS" localSheetId="3" hidden="1">{#N/A,#N/A,FALSE,"ABR95"}</definedName>
    <definedName name="GFDS" hidden="1">{#N/A,#N/A,FALSE,"ABR95"}</definedName>
    <definedName name="GGG" localSheetId="8" hidden="1">{#N/A,#N/A,FALSE,"ABR95"}</definedName>
    <definedName name="GGG" localSheetId="2" hidden="1">{#N/A,#N/A,FALSE,"ABR95"}</definedName>
    <definedName name="GGG" localSheetId="3" hidden="1">{#N/A,#N/A,FALSE,"ABR95"}</definedName>
    <definedName name="GGG" hidden="1">{#N/A,#N/A,FALSE,"ABR95"}</definedName>
    <definedName name="GROSO" localSheetId="8" hidden="1">{#N/A,#N/A,FALSE,"ABR95"}</definedName>
    <definedName name="GROSO" localSheetId="2" hidden="1">{#N/A,#N/A,FALSE,"ABR95"}</definedName>
    <definedName name="GROSO" localSheetId="3" hidden="1">{#N/A,#N/A,FALSE,"ABR95"}</definedName>
    <definedName name="GROSO" hidden="1">{#N/A,#N/A,FALSE,"ABR95"}</definedName>
    <definedName name="GROSOA" localSheetId="8" hidden="1">{#N/A,#N/A,FALSE,"ABR95"}</definedName>
    <definedName name="GROSOA" localSheetId="2" hidden="1">{#N/A,#N/A,FALSE,"ABR95"}</definedName>
    <definedName name="GROSOA" localSheetId="3" hidden="1">{#N/A,#N/A,FALSE,"ABR95"}</definedName>
    <definedName name="GROSOA" hidden="1">{#N/A,#N/A,FALSE,"ABR95"}</definedName>
    <definedName name="HG" localSheetId="8" hidden="1">{#N/A,#N/A,FALSE,"ABR95"}</definedName>
    <definedName name="HG" localSheetId="2" hidden="1">{#N/A,#N/A,FALSE,"ABR95"}</definedName>
    <definedName name="HG" localSheetId="3" hidden="1">{#N/A,#N/A,FALSE,"ABR95"}</definedName>
    <definedName name="HG" hidden="1">{#N/A,#N/A,FALSE,"ABR95"}</definedName>
    <definedName name="HOJA2" localSheetId="8" hidden="1">{#N/A,#N/A,FALSE,"ABR95"}</definedName>
    <definedName name="HOJA2" localSheetId="2" hidden="1">{#N/A,#N/A,FALSE,"ABR95"}</definedName>
    <definedName name="HOJA2" localSheetId="3" hidden="1">{#N/A,#N/A,FALSE,"ABR95"}</definedName>
    <definedName name="HOJA2" hidden="1">{#N/A,#N/A,FALSE,"ABR95"}</definedName>
    <definedName name="HTREFR" localSheetId="8" hidden="1">{#N/A,#N/A,FALSE,"ABR95"}</definedName>
    <definedName name="HTREFR" localSheetId="2" hidden="1">{#N/A,#N/A,FALSE,"ABR95"}</definedName>
    <definedName name="HTREFR" localSheetId="3" hidden="1">{#N/A,#N/A,FALSE,"ABR95"}</definedName>
    <definedName name="HTREFR" hidden="1">{#N/A,#N/A,FALSE,"ABR95"}</definedName>
    <definedName name="n" localSheetId="3" hidden="1">#REF!</definedName>
    <definedName name="n" hidden="1">#REF!</definedName>
    <definedName name="POT" localSheetId="8" hidden="1">{#N/A,#N/A,FALSE,"ABR95"}</definedName>
    <definedName name="POT" localSheetId="2" hidden="1">{#N/A,#N/A,FALSE,"ABR95"}</definedName>
    <definedName name="POT" localSheetId="3" hidden="1">{#N/A,#N/A,FALSE,"ABR95"}</definedName>
    <definedName name="POT" hidden="1">{#N/A,#N/A,FALSE,"ABR95"}</definedName>
    <definedName name="RAMPA" localSheetId="8" hidden="1">{#N/A,#N/A,FALSE,"ABR95"}</definedName>
    <definedName name="RAMPA" localSheetId="2" hidden="1">{#N/A,#N/A,FALSE,"ABR95"}</definedName>
    <definedName name="RAMPA" localSheetId="3" hidden="1">{#N/A,#N/A,FALSE,"ABR95"}</definedName>
    <definedName name="RAMPA" hidden="1">{#N/A,#N/A,FALSE,"ABR95"}</definedName>
    <definedName name="RAMPABALASTRO" localSheetId="8" hidden="1">{#N/A,#N/A,FALSE,"ABR95"}</definedName>
    <definedName name="RAMPABALASTRO" localSheetId="2" hidden="1">{#N/A,#N/A,FALSE,"ABR95"}</definedName>
    <definedName name="RAMPABALASTRO" localSheetId="3" hidden="1">{#N/A,#N/A,FALSE,"ABR95"}</definedName>
    <definedName name="RAMPABALASTRO" hidden="1">{#N/A,#N/A,FALSE,"ABR95"}</definedName>
    <definedName name="RE" localSheetId="8" hidden="1">{#N/A,#N/A,FALSE,"ABR95"}</definedName>
    <definedName name="RE" localSheetId="2" hidden="1">{#N/A,#N/A,FALSE,"ABR95"}</definedName>
    <definedName name="RE" localSheetId="3" hidden="1">{#N/A,#N/A,FALSE,"ABR95"}</definedName>
    <definedName name="RE" hidden="1">{#N/A,#N/A,FALSE,"ABR95"}</definedName>
    <definedName name="RELLENOS" localSheetId="8" hidden="1">{#N/A,#N/A,FALSE,"ABR95"}</definedName>
    <definedName name="RELLENOS" localSheetId="2" hidden="1">{#N/A,#N/A,FALSE,"ABR95"}</definedName>
    <definedName name="RELLENOS" localSheetId="3" hidden="1">{#N/A,#N/A,FALSE,"ABR95"}</definedName>
    <definedName name="RELLENOS" hidden="1">{#N/A,#N/A,FALSE,"ABR95"}</definedName>
    <definedName name="RELLENOS2" localSheetId="8" hidden="1">{#N/A,#N/A,FALSE,"ABR95"}</definedName>
    <definedName name="RELLENOS2" localSheetId="2" hidden="1">{#N/A,#N/A,FALSE,"ABR95"}</definedName>
    <definedName name="RELLENOS2" localSheetId="3" hidden="1">{#N/A,#N/A,FALSE,"ABR95"}</definedName>
    <definedName name="RELLENOS2" hidden="1">{#N/A,#N/A,FALSE,"ABR95"}</definedName>
    <definedName name="RELLENOSEXCE" localSheetId="8" hidden="1">{#N/A,#N/A,FALSE,"ABR95"}</definedName>
    <definedName name="RELLENOSEXCE" localSheetId="2" hidden="1">{#N/A,#N/A,FALSE,"ABR95"}</definedName>
    <definedName name="RELLENOSEXCE" localSheetId="3" hidden="1">{#N/A,#N/A,FALSE,"ABR95"}</definedName>
    <definedName name="RELLENOSEXCE" hidden="1">{#N/A,#N/A,FALSE,"ABR95"}</definedName>
    <definedName name="RERE" localSheetId="8" hidden="1">{#N/A,#N/A,FALSE,"ABR95"}</definedName>
    <definedName name="RERE" localSheetId="2" hidden="1">{#N/A,#N/A,FALSE,"ABR95"}</definedName>
    <definedName name="RERE" localSheetId="3" hidden="1">{#N/A,#N/A,FALSE,"ABR95"}</definedName>
    <definedName name="RERE" hidden="1">{#N/A,#N/A,FALSE,"ABR95"}</definedName>
    <definedName name="RRT" localSheetId="8" hidden="1">{#N/A,#N/A,FALSE,"ABR95"}</definedName>
    <definedName name="RRT" localSheetId="2" hidden="1">{#N/A,#N/A,FALSE,"ABR95"}</definedName>
    <definedName name="RRT" localSheetId="3" hidden="1">{#N/A,#N/A,FALSE,"ABR95"}</definedName>
    <definedName name="RRT" hidden="1">{#N/A,#N/A,FALSE,"ABR95"}</definedName>
    <definedName name="SS" localSheetId="8" hidden="1">{#N/A,#N/A,FALSE,"ABR95"}</definedName>
    <definedName name="SS" localSheetId="2" hidden="1">{#N/A,#N/A,FALSE,"ABR95"}</definedName>
    <definedName name="SS" localSheetId="3" hidden="1">{#N/A,#N/A,FALSE,"ABR95"}</definedName>
    <definedName name="SS" hidden="1">{#N/A,#N/A,FALSE,"ABR95"}</definedName>
    <definedName name="TERE" localSheetId="8" hidden="1">{#N/A,#N/A,FALSE,"ABR95"}</definedName>
    <definedName name="TERE" localSheetId="2" hidden="1">{#N/A,#N/A,FALSE,"ABR95"}</definedName>
    <definedName name="TERE" localSheetId="3" hidden="1">{#N/A,#N/A,FALSE,"ABR95"}</definedName>
    <definedName name="TERE" hidden="1">{#N/A,#N/A,FALSE,"ABR95"}</definedName>
    <definedName name="_xlnm.Print_Titles" localSheetId="2">B_PRESUPUESTO!$1:$17</definedName>
    <definedName name="_xlnm.Print_Titles" localSheetId="3">C_SOBRECOSTO!$1:$12</definedName>
    <definedName name="_xlnm.Print_Titles" localSheetId="6">E_RESUMEN_MAT!$2:$14</definedName>
    <definedName name="TR" localSheetId="8" hidden="1">{#N/A,#N/A,FALSE,"ABR95"}</definedName>
    <definedName name="TR" localSheetId="2" hidden="1">{#N/A,#N/A,FALSE,"ABR95"}</definedName>
    <definedName name="TR" localSheetId="3" hidden="1">{#N/A,#N/A,FALSE,"ABR95"}</definedName>
    <definedName name="TR" hidden="1">{#N/A,#N/A,FALSE,"ABR95"}</definedName>
    <definedName name="TRAZ" localSheetId="8" hidden="1">{#N/A,#N/A,FALSE,"ABR95"}</definedName>
    <definedName name="TRAZ" localSheetId="2" hidden="1">{#N/A,#N/A,FALSE,"ABR95"}</definedName>
    <definedName name="TRAZ" localSheetId="3" hidden="1">{#N/A,#N/A,FALSE,"ABR95"}</definedName>
    <definedName name="TRAZ" hidden="1">{#N/A,#N/A,FALSE,"ABR95"}</definedName>
    <definedName name="trazo" localSheetId="8" hidden="1">{#N/A,#N/A,FALSE,"ABR95"}</definedName>
    <definedName name="trazo" localSheetId="2" hidden="1">{#N/A,#N/A,FALSE,"ABR95"}</definedName>
    <definedName name="trazo" localSheetId="3" hidden="1">{#N/A,#N/A,FALSE,"ABR95"}</definedName>
    <definedName name="trazo" hidden="1">{#N/A,#N/A,FALSE,"ABR95"}</definedName>
    <definedName name="TRAZO2" localSheetId="8" hidden="1">{#N/A,#N/A,FALSE,"ABR95"}</definedName>
    <definedName name="TRAZO2" localSheetId="2" hidden="1">{#N/A,#N/A,FALSE,"ABR95"}</definedName>
    <definedName name="TRAZO2" localSheetId="3" hidden="1">{#N/A,#N/A,FALSE,"ABR95"}</definedName>
    <definedName name="TRAZO2" hidden="1">{#N/A,#N/A,FALSE,"ABR95"}</definedName>
    <definedName name="TRAZO3" localSheetId="8" hidden="1">{#N/A,#N/A,FALSE,"ABR95"}</definedName>
    <definedName name="TRAZO3" localSheetId="2" hidden="1">{#N/A,#N/A,FALSE,"ABR95"}</definedName>
    <definedName name="TRAZO3" localSheetId="3" hidden="1">{#N/A,#N/A,FALSE,"ABR95"}</definedName>
    <definedName name="TRAZO3" hidden="1">{#N/A,#N/A,FALSE,"ABR95"}</definedName>
    <definedName name="TRAZO4" localSheetId="8" hidden="1">{#N/A,#N/A,FALSE,"ABR95"}</definedName>
    <definedName name="TRAZO4" localSheetId="2" hidden="1">{#N/A,#N/A,FALSE,"ABR95"}</definedName>
    <definedName name="TRAZO4" localSheetId="3" hidden="1">{#N/A,#N/A,FALSE,"ABR95"}</definedName>
    <definedName name="TRAZO4" hidden="1">{#N/A,#N/A,FALSE,"ABR95"}</definedName>
    <definedName name="TRAZO5" localSheetId="8" hidden="1">{#N/A,#N/A,FALSE,"ABR95"}</definedName>
    <definedName name="TRAZO5" localSheetId="2" hidden="1">{#N/A,#N/A,FALSE,"ABR95"}</definedName>
    <definedName name="TRAZO5" localSheetId="3" hidden="1">{#N/A,#N/A,FALSE,"ABR95"}</definedName>
    <definedName name="TRAZO5" hidden="1">{#N/A,#N/A,FALSE,"ABR95"}</definedName>
    <definedName name="TRAZO6" localSheetId="8" hidden="1">{#N/A,#N/A,FALSE,"ABR95"}</definedName>
    <definedName name="TRAZO6" localSheetId="2" hidden="1">{#N/A,#N/A,FALSE,"ABR95"}</definedName>
    <definedName name="TRAZO6" localSheetId="3" hidden="1">{#N/A,#N/A,FALSE,"ABR95"}</definedName>
    <definedName name="TRAZO6" hidden="1">{#N/A,#N/A,FALSE,"ABR95"}</definedName>
    <definedName name="TRAZO7" localSheetId="8" hidden="1">{#N/A,#N/A,FALSE,"ABR95"}</definedName>
    <definedName name="TRAZO7" localSheetId="2" hidden="1">{#N/A,#N/A,FALSE,"ABR95"}</definedName>
    <definedName name="TRAZO7" localSheetId="3" hidden="1">{#N/A,#N/A,FALSE,"ABR95"}</definedName>
    <definedName name="TRAZO7" hidden="1">{#N/A,#N/A,FALSE,"ABR95"}</definedName>
    <definedName name="TRTR" localSheetId="8" hidden="1">{#N/A,#N/A,FALSE,"ABR95"}</definedName>
    <definedName name="TRTR" localSheetId="2" hidden="1">{#N/A,#N/A,FALSE,"ABR95"}</definedName>
    <definedName name="TRTR" localSheetId="3" hidden="1">{#N/A,#N/A,FALSE,"ABR95"}</definedName>
    <definedName name="TRTR" hidden="1">{#N/A,#N/A,FALSE,"ABR95"}</definedName>
    <definedName name="TRYY" localSheetId="8" hidden="1">{#N/A,#N/A,FALSE,"ABR95"}</definedName>
    <definedName name="TRYY" localSheetId="2" hidden="1">{#N/A,#N/A,FALSE,"ABR95"}</definedName>
    <definedName name="TRYY" localSheetId="3" hidden="1">{#N/A,#N/A,FALSE,"ABR95"}</definedName>
    <definedName name="TRYY" hidden="1">{#N/A,#N/A,FALSE,"ABR95"}</definedName>
    <definedName name="wrn.AVANCE." localSheetId="8" hidden="1">{#N/A,#N/A,FALSE,"ABR95"}</definedName>
    <definedName name="wrn.AVANCE." localSheetId="2" hidden="1">{#N/A,#N/A,FALSE,"ABR95"}</definedName>
    <definedName name="wrn.AVANCE." localSheetId="3" hidden="1">{#N/A,#N/A,FALSE,"ABR95"}</definedName>
    <definedName name="wrn.AVANCE." hidden="1">{#N/A,#N/A,FALSE,"ABR95"}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3" l="1"/>
  <c r="C3" i="6"/>
  <c r="L21" i="7"/>
  <c r="E34" i="1"/>
  <c r="AV103" i="9"/>
  <c r="E30" i="1"/>
  <c r="E29" i="1"/>
  <c r="E31" i="1"/>
  <c r="C15" i="5" a="1"/>
  <c r="H12" i="5" s="1"/>
  <c r="C15" i="5" l="1"/>
  <c r="B15" i="5" l="1" a="1"/>
  <c r="B15" i="5" s="1"/>
  <c r="F12" i="7"/>
  <c r="D17" i="1"/>
  <c r="G15" i="1"/>
  <c r="G17" i="1"/>
  <c r="E46" i="1"/>
  <c r="E33" i="1"/>
  <c r="E39" i="1"/>
  <c r="E32" i="1"/>
  <c r="E40" i="1"/>
  <c r="E38" i="1"/>
  <c r="G5" i="7"/>
  <c r="D5" i="6"/>
  <c r="B23" i="6"/>
  <c r="J9" i="5" l="1"/>
  <c r="D21" i="13" a="1"/>
  <c r="D21" i="13" s="1"/>
  <c r="Q11" i="9" s="1"/>
  <c r="G4" i="7"/>
  <c r="Q5" i="9"/>
  <c r="G11" i="1"/>
  <c r="E41" i="1"/>
  <c r="E42" i="1"/>
  <c r="G6" i="7"/>
  <c r="D11" i="1"/>
  <c r="D9" i="1"/>
  <c r="G9" i="1"/>
  <c r="A1" i="6" a="1"/>
  <c r="A1" i="6" s="1"/>
  <c r="A2" i="7" s="1"/>
  <c r="B13" i="6"/>
  <c r="E26" i="1" l="1"/>
  <c r="E27" i="1"/>
  <c r="E25" i="1"/>
  <c r="E28" i="1"/>
  <c r="E24" i="1"/>
  <c r="C3" i="7"/>
  <c r="D18" i="8" s="1" a="1"/>
  <c r="D18" i="8" s="1"/>
  <c r="B1" i="6" a="1"/>
  <c r="B1" i="6" s="1"/>
  <c r="C4" i="6" a="1"/>
  <c r="C4" i="6" s="1"/>
  <c r="C4" i="7" s="1"/>
  <c r="C6" i="6" a="1"/>
  <c r="C6" i="6" s="1"/>
  <c r="C6" i="7" s="1"/>
  <c r="C7" i="6" a="1"/>
  <c r="C7" i="6" s="1"/>
  <c r="C7" i="7" s="1"/>
  <c r="B11" i="6"/>
  <c r="B10" i="7" s="1"/>
  <c r="B9" i="6"/>
  <c r="Q7" i="9"/>
  <c r="AW7" i="9"/>
  <c r="AW9" i="9"/>
  <c r="F54" i="10" l="1"/>
  <c r="F52" i="10"/>
  <c r="F50" i="10"/>
  <c r="F48" i="10"/>
  <c r="F47" i="10"/>
  <c r="F46" i="10"/>
  <c r="F45" i="10"/>
  <c r="F44" i="10"/>
  <c r="F43" i="10"/>
  <c r="F42" i="10"/>
  <c r="F41" i="10"/>
  <c r="E40" i="10"/>
  <c r="F40" i="10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E23" i="10"/>
  <c r="F23" i="10" s="1"/>
  <c r="E56" i="10" l="1"/>
  <c r="F56" i="10" s="1"/>
  <c r="F10" i="7"/>
  <c r="B12" i="7"/>
  <c r="AW223" i="9"/>
  <c r="Y223" i="9"/>
  <c r="AK223" i="9" s="1"/>
  <c r="AE194" i="9"/>
  <c r="AE178" i="9"/>
  <c r="AE171" i="9"/>
  <c r="AE164" i="9"/>
  <c r="AN162" i="9"/>
  <c r="AE157" i="9"/>
  <c r="AN155" i="9"/>
  <c r="AV155" i="9" s="1"/>
  <c r="AF155" i="9"/>
  <c r="AE150" i="9"/>
  <c r="AE148" i="9"/>
  <c r="AV146" i="9"/>
  <c r="AV145" i="9"/>
  <c r="AV144" i="9"/>
  <c r="AV143" i="9"/>
  <c r="AV142" i="9"/>
  <c r="AV141" i="9"/>
  <c r="AV140" i="9"/>
  <c r="AV139" i="9"/>
  <c r="AV148" i="9" s="1"/>
  <c r="AE134" i="9"/>
  <c r="AV132" i="9"/>
  <c r="AV131" i="9"/>
  <c r="AV130" i="9"/>
  <c r="AV134" i="9" s="1"/>
  <c r="AV129" i="9"/>
  <c r="AE124" i="9"/>
  <c r="AF122" i="9"/>
  <c r="AV122" i="9" s="1"/>
  <c r="AF121" i="9"/>
  <c r="AV121" i="9" s="1"/>
  <c r="AF120" i="9"/>
  <c r="AV120" i="9" s="1"/>
  <c r="AF119" i="9"/>
  <c r="AV119" i="9" s="1"/>
  <c r="AV124" i="9" s="1"/>
  <c r="AE114" i="9"/>
  <c r="AV112" i="9"/>
  <c r="AV114" i="9" s="1"/>
  <c r="AV111" i="9"/>
  <c r="AV110" i="9"/>
  <c r="AV109" i="9"/>
  <c r="AV108" i="9"/>
  <c r="AE103" i="9"/>
  <c r="AF101" i="9"/>
  <c r="AV101" i="9" s="1"/>
  <c r="AF100" i="9"/>
  <c r="AV100" i="9" s="1"/>
  <c r="AF99" i="9"/>
  <c r="AV99" i="9" s="1"/>
  <c r="AF98" i="9"/>
  <c r="AV98" i="9" s="1"/>
  <c r="AV97" i="9"/>
  <c r="AF97" i="9"/>
  <c r="AF96" i="9"/>
  <c r="AV96" i="9" s="1"/>
  <c r="AV95" i="9"/>
  <c r="AF95" i="9"/>
  <c r="AF94" i="9"/>
  <c r="AV94" i="9" s="1"/>
  <c r="AE89" i="9"/>
  <c r="AV87" i="9"/>
  <c r="AV86" i="9"/>
  <c r="AV85" i="9"/>
  <c r="AV84" i="9"/>
  <c r="AV83" i="9"/>
  <c r="AV89" i="9" s="1"/>
  <c r="AE78" i="9"/>
  <c r="AF76" i="9"/>
  <c r="BD76" i="9" s="1"/>
  <c r="AF75" i="9"/>
  <c r="BD75" i="9" s="1"/>
  <c r="AF74" i="9"/>
  <c r="BD74" i="9" s="1"/>
  <c r="AF73" i="9"/>
  <c r="BD73" i="9" s="1"/>
  <c r="AF72" i="9"/>
  <c r="BD72" i="9" s="1"/>
  <c r="AF71" i="9"/>
  <c r="BD71" i="9" s="1"/>
  <c r="AF70" i="9"/>
  <c r="BD70" i="9" s="1"/>
  <c r="BD69" i="9"/>
  <c r="AF68" i="9"/>
  <c r="BD68" i="9" s="1"/>
  <c r="BD67" i="9"/>
  <c r="AF67" i="9"/>
  <c r="AF66" i="9"/>
  <c r="BD66" i="9" s="1"/>
  <c r="AF65" i="9"/>
  <c r="BD65" i="9" s="1"/>
  <c r="AF64" i="9"/>
  <c r="BD64" i="9" s="1"/>
  <c r="AF63" i="9"/>
  <c r="BD63" i="9" s="1"/>
  <c r="AE58" i="9"/>
  <c r="AE56" i="9"/>
  <c r="AZ54" i="9"/>
  <c r="AJ54" i="9"/>
  <c r="AZ53" i="9"/>
  <c r="AJ52" i="9"/>
  <c r="AZ52" i="9" s="1"/>
  <c r="AV56" i="9" s="1"/>
  <c r="AE47" i="9"/>
  <c r="AF45" i="9"/>
  <c r="BD45" i="9" s="1"/>
  <c r="AF44" i="9"/>
  <c r="BD44" i="9" s="1"/>
  <c r="BD43" i="9"/>
  <c r="AF43" i="9"/>
  <c r="AF42" i="9"/>
  <c r="BD42" i="9" s="1"/>
  <c r="BD41" i="9"/>
  <c r="AF41" i="9"/>
  <c r="AF40" i="9"/>
  <c r="BD40" i="9" s="1"/>
  <c r="AF39" i="9"/>
  <c r="BD39" i="9" s="1"/>
  <c r="BD38" i="9"/>
  <c r="BD37" i="9"/>
  <c r="BD36" i="9"/>
  <c r="AE31" i="9"/>
  <c r="BD29" i="9"/>
  <c r="AF29" i="9"/>
  <c r="BD28" i="9"/>
  <c r="AF28" i="9"/>
  <c r="AF27" i="9"/>
  <c r="BD27" i="9" s="1"/>
  <c r="AF26" i="9"/>
  <c r="BD26" i="9" s="1"/>
  <c r="AF25" i="9"/>
  <c r="BD25" i="9" s="1"/>
  <c r="BD24" i="9"/>
  <c r="AF24" i="9"/>
  <c r="AF23" i="9"/>
  <c r="BD23" i="9" s="1"/>
  <c r="BD22" i="9"/>
  <c r="AF22" i="9"/>
  <c r="AV21" i="9"/>
  <c r="AF21" i="9"/>
  <c r="BD21" i="9" s="1"/>
  <c r="AV20" i="9"/>
  <c r="AF20" i="9"/>
  <c r="BD20" i="9" s="1"/>
  <c r="AV31" i="9" l="1"/>
  <c r="AV58" i="9" s="1"/>
  <c r="AD201" i="9" s="1"/>
  <c r="E37" i="1" s="1"/>
  <c r="D13" i="1"/>
  <c r="Q9" i="9"/>
  <c r="BD155" i="9"/>
  <c r="AV157" i="9"/>
  <c r="AD206" i="9"/>
  <c r="AV78" i="9"/>
  <c r="AD207" i="9"/>
  <c r="AD203" i="9"/>
  <c r="AD208" i="9"/>
  <c r="AD205" i="9"/>
  <c r="AV47" i="9"/>
  <c r="AD202" i="9" l="1"/>
  <c r="AD209" i="9"/>
  <c r="AV150" i="9"/>
  <c r="AD200" i="9" s="1"/>
  <c r="AD204" i="9"/>
  <c r="F4" i="8" l="1"/>
  <c r="F3" i="8"/>
  <c r="C31" i="7"/>
  <c r="A31" i="7"/>
  <c r="C27" i="7"/>
  <c r="A27" i="7"/>
  <c r="J7" i="5" l="1"/>
  <c r="C9" i="5"/>
  <c r="E23" i="1" l="1"/>
  <c r="L17" i="7" l="1"/>
  <c r="AW5" i="9" s="1"/>
  <c r="D176" i="9" s="1"/>
  <c r="AF176" i="9" s="1"/>
  <c r="AN176" i="9" s="1"/>
  <c r="BD176" i="9" s="1"/>
  <c r="AV178" i="9" s="1"/>
  <c r="D162" i="9" l="1"/>
  <c r="BD162" i="9" s="1"/>
  <c r="AD199" i="9"/>
  <c r="BE205" i="9" s="1"/>
  <c r="AD212" i="9"/>
  <c r="BE204" i="9" l="1"/>
  <c r="AW200" i="9"/>
  <c r="AW209" i="9" s="1"/>
  <c r="BE203" i="9"/>
  <c r="BE206" i="9"/>
  <c r="BE202" i="9"/>
  <c r="BE201" i="9"/>
  <c r="BE207" i="9"/>
  <c r="BE200" i="9"/>
  <c r="BE208" i="9"/>
  <c r="AW201" i="9"/>
  <c r="AW202" i="9" s="1"/>
  <c r="AW203" i="9" s="1"/>
  <c r="AW204" i="9" s="1"/>
  <c r="AW205" i="9" s="1"/>
  <c r="AW206" i="9" s="1"/>
  <c r="AW207" i="9" s="1"/>
  <c r="AV162" i="9"/>
  <c r="AV164" i="9" s="1"/>
  <c r="AD210" i="9" s="1"/>
  <c r="BE212" i="9"/>
  <c r="E44" i="1"/>
  <c r="D169" i="9" l="1"/>
  <c r="AV171" i="9" s="1"/>
  <c r="AD211" i="9" s="1"/>
  <c r="E50" i="1" s="1"/>
  <c r="E48" i="1"/>
  <c r="BE210" i="9"/>
  <c r="BE209" i="9"/>
  <c r="AW210" i="9"/>
  <c r="Q183" i="9" l="1"/>
  <c r="AG183" i="9" s="1"/>
  <c r="BE183" i="9" s="1"/>
  <c r="BE211" i="9"/>
  <c r="AW211" i="9"/>
  <c r="Q184" i="9" l="1"/>
  <c r="Q185" i="9" s="1"/>
  <c r="AG184" i="9" l="1"/>
  <c r="BE184" i="9" s="1"/>
  <c r="Q186" i="9"/>
  <c r="AG185" i="9"/>
  <c r="BE185" i="9" s="1"/>
  <c r="Q187" i="9" l="1"/>
  <c r="AG186" i="9"/>
  <c r="BE186" i="9" s="1"/>
  <c r="Q188" i="9" l="1"/>
  <c r="AG187" i="9"/>
  <c r="BE187" i="9" s="1"/>
  <c r="AG188" i="9" l="1"/>
  <c r="BE188" i="9" s="1"/>
  <c r="Q189" i="9"/>
  <c r="AG189" i="9" l="1"/>
  <c r="BE189" i="9" s="1"/>
  <c r="Q190" i="9"/>
  <c r="Q191" i="9" l="1"/>
  <c r="AG190" i="9"/>
  <c r="BE190" i="9" s="1"/>
  <c r="AG191" i="9" l="1"/>
  <c r="BE191" i="9" s="1"/>
  <c r="Q192" i="9"/>
  <c r="AG192" i="9" s="1"/>
  <c r="BE192" i="9" s="1"/>
  <c r="AV194" i="9" l="1"/>
  <c r="AD213" i="9" s="1"/>
  <c r="BE213" i="9" l="1"/>
  <c r="E43" i="1"/>
  <c r="AW213" i="9"/>
  <c r="AW208" i="9" s="1"/>
  <c r="AW212" i="9" s="1"/>
  <c r="AD215" i="9"/>
  <c r="AW215" i="9" l="1"/>
  <c r="V215" i="9"/>
  <c r="J17" i="7" s="1"/>
  <c r="F21" i="7" s="1"/>
  <c r="G21" i="7" s="1"/>
  <c r="E36" i="1"/>
  <c r="E52" i="1" s="1"/>
  <c r="J12" i="5" s="1"/>
  <c r="G27" i="7" l="1"/>
  <c r="G31" i="7" s="1"/>
  <c r="BD31" i="9"/>
  <c r="BD150" i="9"/>
  <c r="BD47" i="9"/>
  <c r="BD157" i="9"/>
  <c r="BD114" i="9"/>
  <c r="BD58" i="9"/>
  <c r="BD124" i="9"/>
  <c r="BD134" i="9"/>
  <c r="BD78" i="9"/>
  <c r="BD89" i="9"/>
  <c r="BD103" i="9"/>
  <c r="BD148" i="9"/>
  <c r="BD56" i="9"/>
  <c r="BD178" i="9"/>
  <c r="BD164" i="9"/>
  <c r="BD171" i="9"/>
  <c r="BD194" i="9"/>
  <c r="D23" i="6" l="1"/>
  <c r="H32" i="7" a="1"/>
  <c r="E23" i="6" l="1"/>
  <c r="H27" i="7"/>
  <c r="D25" i="6"/>
  <c r="E25" i="6" s="1"/>
  <c r="H32" i="7"/>
  <c r="H31" i="7"/>
  <c r="H21" i="7"/>
  <c r="E26" i="6" a="1"/>
  <c r="E26" i="6" l="1"/>
  <c r="G13" i="1"/>
  <c r="F33" i="1" l="1"/>
  <c r="F31" i="1"/>
  <c r="F30" i="1"/>
  <c r="F29" i="1"/>
  <c r="F25" i="1"/>
  <c r="F46" i="1"/>
  <c r="F41" i="1"/>
  <c r="F40" i="1"/>
  <c r="F39" i="1"/>
  <c r="F37" i="1"/>
  <c r="F32" i="1"/>
  <c r="F27" i="1"/>
  <c r="F24" i="1"/>
  <c r="F50" i="1"/>
  <c r="F48" i="1"/>
  <c r="F42" i="1"/>
  <c r="F38" i="1"/>
  <c r="F34" i="1"/>
  <c r="F26" i="1"/>
  <c r="F23" i="1"/>
  <c r="F28" i="1"/>
  <c r="F44" i="1"/>
  <c r="F43" i="1"/>
  <c r="F52" i="1"/>
  <c r="F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MME .</author>
  </authors>
  <commentList>
    <comment ref="J17" authorId="0" shapeId="0" xr:uid="{546BCF8C-16EB-4971-B42A-2D9A1A489510}">
      <text>
        <r>
          <rPr>
            <b/>
            <sz val="9"/>
            <color indexed="81"/>
            <rFont val="Tahoma"/>
            <family val="2"/>
          </rPr>
          <t>MME .:</t>
        </r>
        <r>
          <rPr>
            <sz val="9"/>
            <color indexed="81"/>
            <rFont val="Tahoma"/>
            <family val="2"/>
          </rPr>
          <t xml:space="preserve">
Factor de Costo Indirecto.</t>
        </r>
      </text>
    </comment>
    <comment ref="L17" authorId="0" shapeId="0" xr:uid="{8DDFC953-6B06-4DFF-97A1-129C05FF9D28}">
      <text>
        <r>
          <rPr>
            <b/>
            <sz val="9"/>
            <color indexed="81"/>
            <rFont val="Tahoma"/>
            <family val="2"/>
          </rPr>
          <t>MME .:</t>
        </r>
        <r>
          <rPr>
            <sz val="9"/>
            <color indexed="81"/>
            <rFont val="Tahoma"/>
            <family val="2"/>
          </rPr>
          <t xml:space="preserve">
Costo Directo.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MME .</author>
  </authors>
  <commentList>
    <comment ref="E34" authorId="0" shapeId="0" xr:uid="{6240D325-E3A1-4D99-8139-EC5CF194E1A5}">
      <text>
        <r>
          <rPr>
            <b/>
            <sz val="9"/>
            <color indexed="81"/>
            <rFont val="Tahoma"/>
            <family val="2"/>
          </rPr>
          <t>MME .:</t>
        </r>
        <r>
          <rPr>
            <sz val="9"/>
            <color indexed="81"/>
            <rFont val="Tahoma"/>
            <family val="2"/>
          </rPr>
          <t xml:space="preserve">
Capacitación 
Gastos de Oficina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450552-9628-46E2-A995-49A6F3750207}" keepAlive="1" name="Consulta - e)Listado Insumos (E)" description="Conexión a la consulta 'e)Listado Insumos (E)' en el libro." type="5" refreshedVersion="8" background="1" saveData="1">
    <dbPr connection="Provider=Microsoft.Mashup.OleDb.1;Data Source=$Workbook$;Location=&quot;e)Listado Insumos (E)&quot;;Extended Properties=&quot;&quot;" command="SELECT * FROM [e)Listado Insumos (E)]"/>
  </connection>
  <connection id="2" xr16:uid="{D077C8E8-D21B-477C-8E81-C9C87FD3364F}" keepAlive="1" name="Consulta - Prueba _Insumos (E)" description="Conexión a la consulta 'Prueba _Insumos (E)' en el libro." type="5" refreshedVersion="0" background="1">
    <dbPr connection="Provider=Microsoft.Mashup.OleDb.1;Data Source=$Workbook$;Location=&quot;Prueba _Insumos (E)&quot;;Extended Properties=&quot;&quot;" command="SELECT * FROM [Prueba _Insumos (E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<sst xmlns="http://schemas.openxmlformats.org/spreadsheetml/2006/main" count="1030" uniqueCount="664">
  <si>
    <t>Presupuesto de Control</t>
  </si>
  <si>
    <t>Gerencia de Proyectos</t>
  </si>
  <si>
    <t>Departamento de Ingenieria / Departamento de Presupuestos de Obra</t>
  </si>
  <si>
    <t>A. Datos Generales del Proyecto</t>
  </si>
  <si>
    <t>Jueves, 23 de mayo del 2024</t>
  </si>
  <si>
    <t>01. Nombre del Proyecto:</t>
  </si>
  <si>
    <t>06. Ubicación de la Obra:</t>
  </si>
  <si>
    <t>02. Número de Proyecto:</t>
  </si>
  <si>
    <t>07. Superficie de Construcción:</t>
  </si>
  <si>
    <t>03: Nombre del Cliente:</t>
  </si>
  <si>
    <t>08. Monto de Contrato Neto:</t>
  </si>
  <si>
    <t>04. Nombre del Contratista:</t>
  </si>
  <si>
    <t>Comercializadora Karkor. S.A. de C.V.</t>
  </si>
  <si>
    <t>09. Periodo de Ejecución:</t>
  </si>
  <si>
    <t>5 meses</t>
  </si>
  <si>
    <t>05. Alcance:</t>
  </si>
  <si>
    <t>10. Tipo de Obra:</t>
  </si>
  <si>
    <t>B. Resumen de Costos</t>
  </si>
  <si>
    <t>Revisión 01</t>
  </si>
  <si>
    <t>Reg.</t>
  </si>
  <si>
    <t>Lote</t>
  </si>
  <si>
    <t>Categoría</t>
  </si>
  <si>
    <t>Presupuesto Monto Neto (MXN)</t>
  </si>
  <si>
    <t>Participación (%)</t>
  </si>
  <si>
    <t>Observaciones</t>
  </si>
  <si>
    <t>a.</t>
  </si>
  <si>
    <t>Costo Directo</t>
  </si>
  <si>
    <t>Luminarias Industriales</t>
  </si>
  <si>
    <t>Equipos Especiales</t>
  </si>
  <si>
    <t>Tableros Eléctricos</t>
  </si>
  <si>
    <t>Bases, Postes y Registros Prefabricados</t>
  </si>
  <si>
    <t>Material Eléctrico diverso</t>
  </si>
  <si>
    <t>Arrendamiento de Andamios</t>
  </si>
  <si>
    <t>Mano de Obra en Sitio</t>
  </si>
  <si>
    <t>Renta de Maquinaria</t>
  </si>
  <si>
    <t>Fletes</t>
  </si>
  <si>
    <t>No aplica*</t>
  </si>
  <si>
    <t>Subcontratos</t>
  </si>
  <si>
    <t>Otros</t>
  </si>
  <si>
    <t>b.</t>
  </si>
  <si>
    <t>Costo Indirecto</t>
  </si>
  <si>
    <t>Gastos Administrativos</t>
  </si>
  <si>
    <t>Renta de Campamentos</t>
  </si>
  <si>
    <t>Renta de Vehiculos</t>
  </si>
  <si>
    <t>Gastos de Operación de Maquinaria/Vehiculos</t>
  </si>
  <si>
    <t>Instalaciones de Obra</t>
  </si>
  <si>
    <t>Seguridad e Higiene</t>
  </si>
  <si>
    <t>Primas de Seguros y Fianzas</t>
  </si>
  <si>
    <t>Cierre de Obra ante el I.M.S.S.</t>
  </si>
  <si>
    <t>c.</t>
  </si>
  <si>
    <t>Cargo por Financiamiento</t>
  </si>
  <si>
    <t>d.</t>
  </si>
  <si>
    <t>Margen Bruto de Utilidad</t>
  </si>
  <si>
    <t>e.</t>
  </si>
  <si>
    <t>Cargos Adicionales</t>
  </si>
  <si>
    <t>Gran total (Presupuesto de Control)</t>
  </si>
  <si>
    <t>Código</t>
  </si>
  <si>
    <t>Concepto</t>
  </si>
  <si>
    <t>Unidad</t>
  </si>
  <si>
    <t>Fecha</t>
  </si>
  <si>
    <t>Cantidad</t>
  </si>
  <si>
    <t>Precio</t>
  </si>
  <si>
    <t>Importe</t>
  </si>
  <si>
    <t>% Incidencia</t>
  </si>
  <si>
    <t>C. Resumen de Materiales</t>
  </si>
  <si>
    <t>Descripción</t>
  </si>
  <si>
    <t>Importe  (MXN)</t>
  </si>
  <si>
    <t>Precio  (MXN)</t>
  </si>
  <si>
    <t xml:space="preserve"> </t>
  </si>
  <si>
    <t>R.F.C.</t>
  </si>
  <si>
    <t>CSD160518RY1</t>
  </si>
  <si>
    <t>F-00.05.26.07.23-001</t>
  </si>
  <si>
    <t>Dirección:</t>
  </si>
  <si>
    <t>D24-013</t>
  </si>
  <si>
    <t>Telefono(s)</t>
  </si>
  <si>
    <t>Correo(s):</t>
  </si>
  <si>
    <t>Cliente:</t>
  </si>
  <si>
    <t>Proyecto:</t>
  </si>
  <si>
    <t>Atención a:</t>
  </si>
  <si>
    <t>R E S U M E N   D E   L A   P R O P U E S T A</t>
  </si>
  <si>
    <t>Partida</t>
  </si>
  <si>
    <t>Descripción Completa</t>
  </si>
  <si>
    <t>% Inc.</t>
  </si>
  <si>
    <t>ESTACIONAMIENTO</t>
  </si>
  <si>
    <t>Subtotal del Presupuesto mostrado sin Impuestos</t>
  </si>
  <si>
    <t>R.F.C. :</t>
  </si>
  <si>
    <t>Formato:</t>
  </si>
  <si>
    <t>Clave:</t>
  </si>
  <si>
    <t>Revisión:</t>
  </si>
  <si>
    <t>Fecha:</t>
  </si>
  <si>
    <t>Ubicación:</t>
  </si>
  <si>
    <t>P R E S U P U E S T O    D E    O B R A</t>
  </si>
  <si>
    <t>P. Unitario</t>
  </si>
  <si>
    <t>Alimentaciones Exteriores</t>
  </si>
  <si>
    <t>1.1.1</t>
  </si>
  <si>
    <t>Tableros</t>
  </si>
  <si>
    <t>1.1.1.1</t>
  </si>
  <si>
    <t>ALE-CAS1-001</t>
  </si>
  <si>
    <t>Total de:</t>
  </si>
  <si>
    <t>Sin más por el momento, le agradezco su invitación y quedo a la espera de su amable respuesta.</t>
  </si>
  <si>
    <t>Atentamente</t>
  </si>
  <si>
    <t>N O T A S   A C L A R A T O R I A S</t>
  </si>
  <si>
    <t>1.-</t>
  </si>
  <si>
    <t>La presente oferta no incluye materiales, ni acarreos, unicamente instalación de los insumos puestos en sitio por parte del Cliente</t>
  </si>
  <si>
    <t>2.-</t>
  </si>
  <si>
    <t>Se incluye maquinaria y equipo de elevación necesario para la ejecución de los trabajos ofertados</t>
  </si>
  <si>
    <t>T E R M I N O S   Y   C O N D I C I O N E S    C O M E R C I A L E S</t>
  </si>
  <si>
    <t>I.</t>
  </si>
  <si>
    <t>Moneda Aplicable:</t>
  </si>
  <si>
    <t>Los precios mostrados en esta cotización se encuentran en moneda nacional, y se muestran sin el I.V.A. correspondiente</t>
  </si>
  <si>
    <t>II.</t>
  </si>
  <si>
    <t>Vigencia de la Oferta:</t>
  </si>
  <si>
    <t>15 días hábiles a partir de su emisión. Una vez vencido este plazo, la oferta se ajustará a los precios de mercado aplicables a la confirmación de contratación.</t>
  </si>
  <si>
    <t>III.</t>
  </si>
  <si>
    <t>Condiciones de Pago:</t>
  </si>
  <si>
    <t>Para la presente oferta, se requiere del siguiente esquema de pago para el cumplimiento de las actividades ofertadas:</t>
  </si>
  <si>
    <t>Por concepto de Anticipo</t>
  </si>
  <si>
    <t>Contra avance de obra, mediante estimaciones quincenales</t>
  </si>
  <si>
    <t>Contra aviso de entrega de los trabajos</t>
  </si>
  <si>
    <t>IV.</t>
  </si>
  <si>
    <t>Periodo de Ejecución:</t>
  </si>
  <si>
    <t>Sujeta a disponibilidad de obra</t>
  </si>
  <si>
    <t>Queda sujeto a disponibilidad de obra, así como de la planificación con otras especialidades que participen durante el proyecto, conforme a Programa General de Obra. El plazo de ejecución propuesto contempla que se cuenta con todos los materiales disponibles, y se programará de acuerdo a los siguientes factores:</t>
  </si>
  <si>
    <t>Nombre:</t>
  </si>
  <si>
    <t>Comercializadora Karkor, S.A. de C.V.</t>
  </si>
  <si>
    <t>CKA000522V19</t>
  </si>
  <si>
    <t>LISTA R.F.C</t>
  </si>
  <si>
    <t>Comprensión Lote 6 Manzana 11, La Retama, C.P 52764, Huixquilucan, Estado de México, México</t>
  </si>
  <si>
    <t>(55) 8003 3355; (55) 1913 9929</t>
  </si>
  <si>
    <t>contacto@karkor.com.mx</t>
  </si>
  <si>
    <t>Ingenieria y Construcciones Dyven, S.A. de C.V.</t>
  </si>
  <si>
    <t>Sierra Gorda No. 75, Lomas de Chapultepec VII Sección, C.P. 11000, Alcaldía Miguel Hidalgo, Ciudad de México, México</t>
  </si>
  <si>
    <t>(55) 8003 3355; (55) 7923 0403</t>
  </si>
  <si>
    <t>contacto@dyven.com.mx</t>
  </si>
  <si>
    <r>
      <rPr>
        <b/>
        <u/>
        <sz val="11"/>
        <color rgb="FF000000"/>
        <rFont val="Swis721 LtCn BT"/>
        <family val="2"/>
      </rPr>
      <t>_______________________________________________</t>
    </r>
    <r>
      <rPr>
        <sz val="11"/>
        <color rgb="FF000000"/>
        <rFont val="Swis721 LtCn BT"/>
        <family val="2"/>
      </rPr>
      <t xml:space="preserve">
Arq. José Luis González Moreno
Dirección de Proyectos
(55) 1912 9929
joseluis.gonzalez@dyven.com.mx</t>
    </r>
  </si>
  <si>
    <r>
      <rPr>
        <b/>
        <u/>
        <sz val="11"/>
        <color rgb="FF000000"/>
        <rFont val="Swis721 LtCn BT"/>
        <family val="2"/>
      </rPr>
      <t>_______________________________________________</t>
    </r>
    <r>
      <rPr>
        <b/>
        <sz val="11"/>
        <color rgb="FF000000"/>
        <rFont val="Swis721 LtCn BT"/>
        <family val="2"/>
      </rPr>
      <t xml:space="preserve">
</t>
    </r>
    <r>
      <rPr>
        <sz val="11"/>
        <color rgb="FF000000"/>
        <rFont val="Swis721 LtCn BT"/>
        <family val="2"/>
      </rPr>
      <t>Arq. José Luis González Moreno
Dirección de Proyectos
(55) 1912 9929
jlgm@karkor.com.mx</t>
    </r>
  </si>
  <si>
    <r>
      <rPr>
        <b/>
        <sz val="16"/>
        <color theme="1"/>
        <rFont val="Swis721 Cn BT"/>
        <family val="2"/>
      </rPr>
      <t>ANÁLISIS, CÁLCULO E INTEGRACIÓN DEL SOBRECOSTO</t>
    </r>
    <r>
      <rPr>
        <b/>
        <sz val="14"/>
        <color theme="1"/>
        <rFont val="Swis721 Cn BT"/>
        <family val="2"/>
      </rPr>
      <t xml:space="preserve">
</t>
    </r>
    <r>
      <rPr>
        <b/>
        <sz val="15"/>
        <color theme="1"/>
        <rFont val="Swis721 Cn BT"/>
        <family val="2"/>
      </rPr>
      <t>GERENCIA DE PROYECTOS</t>
    </r>
    <r>
      <rPr>
        <b/>
        <sz val="14"/>
        <color theme="1"/>
        <rFont val="Swis721 Cn BT"/>
        <family val="2"/>
      </rPr>
      <t xml:space="preserve">
</t>
    </r>
    <r>
      <rPr>
        <sz val="14"/>
        <color theme="1"/>
        <rFont val="Swis721 Cn BT"/>
        <family val="2"/>
      </rPr>
      <t>DEPARTAMENTO DE PRESUPUESTOS DE OBRA</t>
    </r>
  </si>
  <si>
    <t>DATOS GENERALES DEL PROYECTO</t>
  </si>
  <si>
    <t>Nota Importante: Los campos marcados con (**) son obligatorios.</t>
  </si>
  <si>
    <r>
      <t>01 Nombre del Proyecto</t>
    </r>
    <r>
      <rPr>
        <sz val="13"/>
        <color rgb="FFFF0000"/>
        <rFont val="Swis721 Lt BT"/>
        <family val="2"/>
      </rPr>
      <t>**</t>
    </r>
    <r>
      <rPr>
        <sz val="13"/>
        <color theme="1"/>
        <rFont val="Swis721 Lt BT"/>
        <family val="2"/>
      </rPr>
      <t>:</t>
    </r>
  </si>
  <si>
    <r>
      <t>05 Costo Directo</t>
    </r>
    <r>
      <rPr>
        <sz val="13"/>
        <color rgb="FFFF0000"/>
        <rFont val="Swis721 Lt BT"/>
        <family val="2"/>
      </rPr>
      <t>**</t>
    </r>
    <r>
      <rPr>
        <sz val="13"/>
        <color theme="1"/>
        <rFont val="Swis721 Lt BT"/>
        <family val="2"/>
      </rPr>
      <t>:</t>
    </r>
  </si>
  <si>
    <r>
      <t>02 Número de Proyecto</t>
    </r>
    <r>
      <rPr>
        <sz val="13"/>
        <color rgb="FFFF0000"/>
        <rFont val="Swis721 Lt BT"/>
        <family val="2"/>
      </rPr>
      <t>**</t>
    </r>
    <r>
      <rPr>
        <sz val="13"/>
        <color theme="1"/>
        <rFont val="Swis721 Lt BT"/>
        <family val="2"/>
      </rPr>
      <t>:</t>
    </r>
  </si>
  <si>
    <t>06 Número de Revisión:</t>
  </si>
  <si>
    <t>03 Cliente:</t>
  </si>
  <si>
    <r>
      <t>07 Ubicación General del Proyecto</t>
    </r>
    <r>
      <rPr>
        <sz val="13"/>
        <color rgb="FFFF0000"/>
        <rFont val="Swis721 Lt BT"/>
        <family val="2"/>
      </rPr>
      <t>**</t>
    </r>
    <r>
      <rPr>
        <sz val="13"/>
        <color theme="1"/>
        <rFont val="Swis721 Lt BT"/>
        <family val="2"/>
      </rPr>
      <t>:</t>
    </r>
  </si>
  <si>
    <r>
      <t>04 Contratista</t>
    </r>
    <r>
      <rPr>
        <sz val="13"/>
        <color rgb="FFFF0000"/>
        <rFont val="Swis721 Lt BT"/>
        <family val="2"/>
      </rPr>
      <t>**</t>
    </r>
    <r>
      <rPr>
        <sz val="13"/>
        <color theme="1"/>
        <rFont val="Swis721 Lt BT"/>
        <family val="2"/>
      </rPr>
      <t>:</t>
    </r>
  </si>
  <si>
    <r>
      <t>08 Periodo de Ejecución (Meses)</t>
    </r>
    <r>
      <rPr>
        <sz val="13"/>
        <color rgb="FFFF0000"/>
        <rFont val="Swis721 Lt BT"/>
        <family val="2"/>
      </rPr>
      <t>**</t>
    </r>
    <r>
      <rPr>
        <sz val="13"/>
        <color theme="1"/>
        <rFont val="Swis721 Lt BT"/>
        <family val="2"/>
      </rPr>
      <t>:</t>
    </r>
  </si>
  <si>
    <t>ANÁLISIS DEL SOBRECOSTO</t>
  </si>
  <si>
    <t>1. Análisis, Cálculo e Integración de Costo Indirecto</t>
  </si>
  <si>
    <t>1.1. Honorarios, sueldos y prestaciones</t>
  </si>
  <si>
    <t>1.1.1. Gastos Administrativos de Oficina de Campo</t>
  </si>
  <si>
    <t>Personal Campo</t>
  </si>
  <si>
    <t>Personal Central</t>
  </si>
  <si>
    <t>Reg</t>
  </si>
  <si>
    <t>Salario Neto Mensual</t>
  </si>
  <si>
    <t>Factor de Salario Real</t>
  </si>
  <si>
    <t>Salario con Prestaciones</t>
  </si>
  <si>
    <t>Otras Prestaciones</t>
  </si>
  <si>
    <t>Participación (Meses)</t>
  </si>
  <si>
    <t>Superintendente de Obra</t>
  </si>
  <si>
    <t>Gerente de Proyecto</t>
  </si>
  <si>
    <t>Residente de Obra</t>
  </si>
  <si>
    <t>Administrador de Obra</t>
  </si>
  <si>
    <t>Auxiliar Técnico</t>
  </si>
  <si>
    <t>Auxiliar Administrativo</t>
  </si>
  <si>
    <t>Supervisor de HSE</t>
  </si>
  <si>
    <t>Cabo de Oficios</t>
  </si>
  <si>
    <t>Auxiliar Contable</t>
  </si>
  <si>
    <t>Ingeniero de Proyectos</t>
  </si>
  <si>
    <t>Supervisor de Calidad</t>
  </si>
  <si>
    <t>Modelista BIM</t>
  </si>
  <si>
    <t>Almacenista</t>
  </si>
  <si>
    <t>Coordinador de Instalaciones</t>
  </si>
  <si>
    <t>Cuadrilla de Topografía</t>
  </si>
  <si>
    <t>Dibujante</t>
  </si>
  <si>
    <t>Seguridad Privada</t>
  </si>
  <si>
    <t>Velador</t>
  </si>
  <si>
    <t>Personal de Limpieza</t>
  </si>
  <si>
    <t>Subtotal</t>
  </si>
  <si>
    <t>% I.G.</t>
  </si>
  <si>
    <t>1.1.2. Gastos Administrativos de Oficina Central</t>
  </si>
  <si>
    <t>1.1.3. Gastos Administrativos del Personal Operativo</t>
  </si>
  <si>
    <t>Provisión Mensual</t>
  </si>
  <si>
    <t>Número de Personal</t>
  </si>
  <si>
    <t>Número de Eventos</t>
  </si>
  <si>
    <t>Gastos por Viáticos / Personal Operativo</t>
  </si>
  <si>
    <t>N/A</t>
  </si>
  <si>
    <t>Gastos de Traslado a Obra</t>
  </si>
  <si>
    <t>Gastos de Traslado Diario de Personal</t>
  </si>
  <si>
    <t>1.2. Depreciación, mantenimiento y rentas</t>
  </si>
  <si>
    <t>Traslados</t>
  </si>
  <si>
    <t>Otros Gastos</t>
  </si>
  <si>
    <t>Renta de Oficina Móvil</t>
  </si>
  <si>
    <t>Renta de Bodega / Contenedor</t>
  </si>
  <si>
    <t>Renta de Hospedaje (P. Operativo)</t>
  </si>
  <si>
    <t>Renta de Hospedaje (P. Administrativo)</t>
  </si>
  <si>
    <t>Renta de Maquinaria Pesada</t>
  </si>
  <si>
    <t>Renta de Plataforma de Elevación</t>
  </si>
  <si>
    <t>Renta de Grúas para Montaje</t>
  </si>
  <si>
    <t>Renta de Torres de Iluminación</t>
  </si>
  <si>
    <t>Renta de Maquinaria Ligera</t>
  </si>
  <si>
    <t>Renta de Equipo Menor</t>
  </si>
  <si>
    <t>Renta de Sanitarios Móviles</t>
  </si>
  <si>
    <t>Costo de Operación de Vehiculos</t>
  </si>
  <si>
    <t>Costo de Mantenimiento de Vehiculos</t>
  </si>
  <si>
    <t>1.3. Servicios Externos</t>
  </si>
  <si>
    <t>Estudios de Geotécnica</t>
  </si>
  <si>
    <t>1.4. Gastos de Oficina de Campo</t>
  </si>
  <si>
    <t>Gastos de Papelería</t>
  </si>
  <si>
    <t>Equipos de Computación</t>
  </si>
  <si>
    <t>Servicio Fijo de Telefonía</t>
  </si>
  <si>
    <t>Servicio Móvil de Telefonía</t>
  </si>
  <si>
    <t>Servicio Provisional de Agua</t>
  </si>
  <si>
    <t>Servicio Provisional Eléctrico</t>
  </si>
  <si>
    <t>Servicio de Internet</t>
  </si>
  <si>
    <t>Situación de Fondos</t>
  </si>
  <si>
    <t>1.5. Fletes y Acarreos</t>
  </si>
  <si>
    <t>De Campamentos</t>
  </si>
  <si>
    <t>De Equipo de Construcción</t>
  </si>
  <si>
    <t>De Materiales de Construcción</t>
  </si>
  <si>
    <t>Movimiento entre patios de construcción</t>
  </si>
  <si>
    <t>De otros</t>
  </si>
  <si>
    <t>1.6. Capacitación</t>
  </si>
  <si>
    <t>Constancia de Habilidades DC3</t>
  </si>
  <si>
    <t>Curso de Capacitación Externo</t>
  </si>
  <si>
    <t>Certificaciones</t>
  </si>
  <si>
    <t>Estudios Médicos / Antidoping</t>
  </si>
  <si>
    <t>1.7. Seguridad e Higiene en Obra</t>
  </si>
  <si>
    <t xml:space="preserve">Elementos de Protección Personal </t>
  </si>
  <si>
    <t>Equipo de Protección Personal Especifico</t>
  </si>
  <si>
    <t>Señalizaciones</t>
  </si>
  <si>
    <t>Puntos de Hidratación</t>
  </si>
  <si>
    <t>1.8. Trabajos Previos y Auxiliares</t>
  </si>
  <si>
    <t>Construcción de Caminos de Acceso</t>
  </si>
  <si>
    <t>Montaje y Desmantelamiento de Equipo</t>
  </si>
  <si>
    <t>Construcción de Campamentos</t>
  </si>
  <si>
    <t>Construcción de Laboratorios</t>
  </si>
  <si>
    <t>Construcción de Instalaciones</t>
  </si>
  <si>
    <t>Letrero Nóminativo de Obra</t>
  </si>
  <si>
    <t>Licencias y Gestiones</t>
  </si>
  <si>
    <t>Protección de Instalaciones Provisionales</t>
  </si>
  <si>
    <t>2. Análisis, Cálculo e Integración de Cargo por Financiamiento</t>
  </si>
  <si>
    <t>Monto Máximo de Financiamiento</t>
  </si>
  <si>
    <t>Periodo de Financiamiento</t>
  </si>
  <si>
    <t>Tasa de Interés Anual</t>
  </si>
  <si>
    <t>Tasa de Interés Mensual</t>
  </si>
  <si>
    <t>Diferencia entre Eg - Ig</t>
  </si>
  <si>
    <t>Intereses Acumulados</t>
  </si>
  <si>
    <t>% de Financiamiento</t>
  </si>
  <si>
    <t>Mensual</t>
  </si>
  <si>
    <t>3. Análisis, Cálculo e Integración de Cargo por Utilidad</t>
  </si>
  <si>
    <t>Costo Directo + Indirecto + Financ.</t>
  </si>
  <si>
    <t>Utilidad Propuesta (Neta)</t>
  </si>
  <si>
    <t>Impuesto sobre la Renta</t>
  </si>
  <si>
    <t>P.T.U.</t>
  </si>
  <si>
    <t>% Utilidad Bruta</t>
  </si>
  <si>
    <t>Monto Utilidad Bruta</t>
  </si>
  <si>
    <t>Monto Utilidad Neta</t>
  </si>
  <si>
    <t>4. Análisis, Cálculo e Integración de Cargos Adicionales</t>
  </si>
  <si>
    <t>Costo Directo+Indirecto+Fin+Utilidad</t>
  </si>
  <si>
    <t>Impuestos Locales</t>
  </si>
  <si>
    <t>Impuestos Federales</t>
  </si>
  <si>
    <t>Gastos de Supervisión</t>
  </si>
  <si>
    <t>Aportación a Sindicatos</t>
  </si>
  <si>
    <t>No Comprobables</t>
  </si>
  <si>
    <t>Pasivo de Contigencias</t>
  </si>
  <si>
    <t>5. Cierre de Obra ante el I.M.S.S.</t>
  </si>
  <si>
    <t>Monto de Obra (Costo Directo)</t>
  </si>
  <si>
    <t>Tipo de Obra</t>
  </si>
  <si>
    <t>Prima Grado de Riesgo</t>
  </si>
  <si>
    <t>Mano de Obra Incurrida</t>
  </si>
  <si>
    <t>Cuotas Obrero Patronal</t>
  </si>
  <si>
    <t>% de Corrección</t>
  </si>
  <si>
    <t>Privada</t>
  </si>
  <si>
    <t>6. Seguros y Fianzas</t>
  </si>
  <si>
    <t>Monto de Cobertura</t>
  </si>
  <si>
    <t>%Afianzado/asegurado</t>
  </si>
  <si>
    <t>$Afianzado/asegurado</t>
  </si>
  <si>
    <t>% Prima Neta</t>
  </si>
  <si>
    <t>% Gastos de Expedición</t>
  </si>
  <si>
    <t xml:space="preserve">Prima por Fianza de Anticipo </t>
  </si>
  <si>
    <t xml:space="preserve">Prima por Fianza de Cumplimiento </t>
  </si>
  <si>
    <t xml:space="preserve">Prima por Fianza de Contigencias Lab. </t>
  </si>
  <si>
    <t xml:space="preserve">Prima por Fianza de Vicios Ocultos </t>
  </si>
  <si>
    <t>Prima por Fianza de Buena Calidad</t>
  </si>
  <si>
    <t>Prima por Seguro Todo Riesgo</t>
  </si>
  <si>
    <t>Prima por Seguro de Responsabilidad Civ.</t>
  </si>
  <si>
    <t>Prima por Seguro de Montaje</t>
  </si>
  <si>
    <t>Prima por Seguro todo Riesgo M.E</t>
  </si>
  <si>
    <t>Prima por  Seguro de Edificación y OOCC</t>
  </si>
  <si>
    <t>RESUMEN DE SOBRECOSTO</t>
  </si>
  <si>
    <t>Abreviatura</t>
  </si>
  <si>
    <t>Monto (Antes de I.V.A.)</t>
  </si>
  <si>
    <t>Fórmula</t>
  </si>
  <si>
    <t>Subtotales</t>
  </si>
  <si>
    <t>Factor</t>
  </si>
  <si>
    <t>C.D.</t>
  </si>
  <si>
    <t>C.I.</t>
  </si>
  <si>
    <t>Subtotal 1 = C.D. + C.I.</t>
  </si>
  <si>
    <t>1.4. Gastos de Oficina</t>
  </si>
  <si>
    <t>C.F.</t>
  </si>
  <si>
    <t>Subtotal 2 = Subtotal 1 + C.F.</t>
  </si>
  <si>
    <t>C.U.</t>
  </si>
  <si>
    <t>Subtotal 3 = Subtotal 2 + C.U.</t>
  </si>
  <si>
    <t>C.A.</t>
  </si>
  <si>
    <t>Subtotal 4 = Subtotal 3 + C.A.</t>
  </si>
  <si>
    <t>Monto de Sobrecosto</t>
  </si>
  <si>
    <t>Precio de Venta</t>
  </si>
  <si>
    <t>(Monto más I.V.A.)</t>
  </si>
  <si>
    <t>Elaboró:</t>
  </si>
  <si>
    <t>Revisó:</t>
  </si>
  <si>
    <t>Aprobó:</t>
  </si>
  <si>
    <t>Autorizó:</t>
  </si>
  <si>
    <t>Nombre Completo:</t>
  </si>
  <si>
    <t>Ing. Francisco Javier Gómez Campos</t>
  </si>
  <si>
    <t>Ing. José Luis Gonzalez Moreno</t>
  </si>
  <si>
    <t>Ing. Jorge Cardona López Duplán</t>
  </si>
  <si>
    <t>Cargo:</t>
  </si>
  <si>
    <t>Dirección Técnica</t>
  </si>
  <si>
    <t>Dirección General</t>
  </si>
  <si>
    <t>Firma:</t>
  </si>
  <si>
    <t>Edelmar Acapulco</t>
  </si>
  <si>
    <t>Av Costera Miguel Alemán 95, 39690 Acapulco</t>
  </si>
  <si>
    <t>D23-033</t>
  </si>
  <si>
    <t xml:space="preserve">	35,000 m2</t>
  </si>
  <si>
    <t>Edelmar Acapulco A.C.</t>
  </si>
  <si>
    <t>Ingenieria y Construcciones Dyven. S.A. de C.V.</t>
  </si>
  <si>
    <t>Contratista General</t>
  </si>
  <si>
    <t>Remodelación Obra Civil + Instalaciones</t>
  </si>
  <si>
    <t>Subcontrato Tablaroca</t>
  </si>
  <si>
    <t>Subcontrato Pintura</t>
  </si>
  <si>
    <t>Subcontrato Instalación Aire Acondicionado</t>
  </si>
  <si>
    <t>Subcontrato Instalación Eléctrica</t>
  </si>
  <si>
    <t>Subcontrato Carpinteria</t>
  </si>
  <si>
    <t>Suministro de Equipos de Aire Acondicionado</t>
  </si>
  <si>
    <t xml:space="preserve">Suministro de Luminarias </t>
  </si>
  <si>
    <t xml:space="preserve">Suministro de Calentadores de Paso </t>
  </si>
  <si>
    <t>Material Obra Civil</t>
  </si>
  <si>
    <t>Otros Subcontratos</t>
  </si>
  <si>
    <t>Tabla de Datos Generales</t>
  </si>
  <si>
    <t>03. Nombre del Cliente:</t>
  </si>
  <si>
    <t>04. Atención a:</t>
  </si>
  <si>
    <t>05. RFC del Contratista:</t>
  </si>
  <si>
    <t>06. Nombre del Contratista:</t>
  </si>
  <si>
    <t>07. Ubicación de la Obra:</t>
  </si>
  <si>
    <t>08. Superficie de Construcción:</t>
  </si>
  <si>
    <t>11. Alcance:</t>
  </si>
  <si>
    <t>03. Número de Revisión:</t>
  </si>
  <si>
    <t>Total Insumos (Presupuesto de Control)</t>
  </si>
  <si>
    <t xml:space="preserve">ESTACIONAMIENTO </t>
  </si>
  <si>
    <r>
      <t xml:space="preserve">Por este medio, y en atención a su amable solicitud de cotización, presentamos nuestra oferta económica para </t>
    </r>
    <r>
      <rPr>
        <b/>
        <sz val="12"/>
        <rFont val="Swis721 BT"/>
        <family val="2"/>
      </rPr>
      <t>"Nombre de la Obra"</t>
    </r>
    <r>
      <rPr>
        <sz val="12"/>
        <rFont val="Swis721 Lt BT"/>
        <family val="2"/>
      </rPr>
      <t>, y que se describe a continuación:</t>
    </r>
  </si>
  <si>
    <t>MT-EE-112T132H</t>
  </si>
  <si>
    <t>112T132H Square D Transformador Seco 480-220/127V 112.5KVA 112T132H</t>
  </si>
  <si>
    <t>PZA</t>
  </si>
  <si>
    <t>MT-ED-SCL-0403</t>
  </si>
  <si>
    <t>ABRAZADERA AJUSTABLE PERA SC-269 DE 1</t>
  </si>
  <si>
    <t>MT-ED-SCL-0401</t>
  </si>
  <si>
    <t>Abrazadera Ajustable Pera SC-269 de 1/2</t>
  </si>
  <si>
    <t>MT-ED-SCL-0405</t>
  </si>
  <si>
    <t>Abrazadera Ajustable Pera SC-269 de 11/2</t>
  </si>
  <si>
    <t>MT-ED-SCL-0404</t>
  </si>
  <si>
    <t>Abrazadera Ajustable Pera SC-269 de 11/4</t>
  </si>
  <si>
    <t>MT-ED-SCL-0402</t>
  </si>
  <si>
    <t>Abrazadera Ajustable Pera SC-269 DE 3/4</t>
  </si>
  <si>
    <t>MT-ED-SCL-1804-ED</t>
  </si>
  <si>
    <t>ABRAZADERA PARA UNICANAL U-10 DE 1</t>
  </si>
  <si>
    <t>MT-ED-SCL-1802</t>
  </si>
  <si>
    <t>ABRAZADERA PARA UNICANAL U-10 DE 1/2</t>
  </si>
  <si>
    <t>MT-ED-382-SCL-1805</t>
  </si>
  <si>
    <t>Abrazadera para Unicanal de U-10 de 1 1/2"</t>
  </si>
  <si>
    <t>MT-ED-SCL-1806</t>
  </si>
  <si>
    <t>Abrazadera para Unicanal U-10 11/4</t>
  </si>
  <si>
    <t>MT-ED-354-SCL-1807</t>
  </si>
  <si>
    <t>ABRAZADERA PARA UNICANAL U-10 DE 2</t>
  </si>
  <si>
    <t>MT-ED-SCL-1803</t>
  </si>
  <si>
    <t>Abrazadera para Unicanal U-10 de 3/4"</t>
  </si>
  <si>
    <t>MT-EE-BBB-14225B</t>
  </si>
  <si>
    <t>Barra Colectora de cobre para conexiones de tierra de 1/4", con aisladores de vidrio reforzado con poliéster termoestable, con 36 orificios, con soportes y tornilleria, Catálogo BBB-14225B marca Burnd</t>
  </si>
  <si>
    <t>MT-ED-VAR-0035</t>
  </si>
  <si>
    <t>Cable de Acero Galvanizado de 1/8"</t>
  </si>
  <si>
    <t>m</t>
  </si>
  <si>
    <t>MT-ED-CCUDES4/0KBX</t>
  </si>
  <si>
    <t>Cable de Cobre Desnudo Suave Calibre 4/0 AWG marca Kobrex</t>
  </si>
  <si>
    <t>ml</t>
  </si>
  <si>
    <t>MT-ED-CCUTHW006CDC</t>
  </si>
  <si>
    <t>Cable de Cobre THHW-LS Calibre 6 AWG 90°C Antiflama Vinanel XXI de Condumex</t>
  </si>
  <si>
    <t>MT-ED-CCUTHW01/0CDC</t>
  </si>
  <si>
    <t>Cable de Cobre THW-LS Calibre 1/0 AWG 90°C Antiflama marca Condulac.</t>
  </si>
  <si>
    <t>MT-ED-CCUTHW010CDC</t>
  </si>
  <si>
    <t>Cable de Cobre THW-LS Calibre 10 AWG 90°C Antiflama marca Condulac</t>
  </si>
  <si>
    <t>MT-ED-CCUTHW012CDC</t>
  </si>
  <si>
    <t>Cable de Cobre THW-LS Calibre 12 AWG 90°C Antiflama marca Condulac</t>
  </si>
  <si>
    <t>MT-ED-CCUTHW002CDC0</t>
  </si>
  <si>
    <t>Cable de Cobre THW-LS Calibre 2 AWG 90°C Antiflama Condulac</t>
  </si>
  <si>
    <t>MT-ED-CCUTHW004CDC</t>
  </si>
  <si>
    <t>Cable de Cobre THW-LS Calibre 4 AWG 90°C Antiflama marca Condulac</t>
  </si>
  <si>
    <t>MT-ED-CCUTHW008CDC</t>
  </si>
  <si>
    <t>Cable de Cobre THW-LS Calibre 8 AWG 90°C Antiflama marca Condulac</t>
  </si>
  <si>
    <t>MT-ED-342-CDM-0715</t>
  </si>
  <si>
    <t>Cable de Uso Rudo Calibre 3x14 AWG, marca Condulac</t>
  </si>
  <si>
    <t>MT-ED-CCG034GEN</t>
  </si>
  <si>
    <t>Caja Cuadrada Galvanizada de 21 mm (3/4") marca Génerica</t>
  </si>
  <si>
    <t>MT-ED-CCG0112GEN</t>
  </si>
  <si>
    <t>Caja Cuadrada Galvanizada de 1 1/2" marca Génerica</t>
  </si>
  <si>
    <t>MT-ED-CCG0114GEN</t>
  </si>
  <si>
    <t>Caja Cuadrada Galvanizada de 1 1/4" marca Génerica</t>
  </si>
  <si>
    <t>MT-ED-CCG001GEN</t>
  </si>
  <si>
    <t>Caja Cuadrada Galvanizada de 1" marca Génerica</t>
  </si>
  <si>
    <t>MT-ED-CCG012GEN</t>
  </si>
  <si>
    <t>Caja Cuadrada Galvanizada de 1/2" marca Génerica</t>
  </si>
  <si>
    <t>MT-ED-CCG002GEN</t>
  </si>
  <si>
    <t>Caja Cuadrada Galvanizada de 2" marca Génerica</t>
  </si>
  <si>
    <t>MT-ED-342-PVC-1103</t>
  </si>
  <si>
    <t>Caja Cuadrada PVC de 19MM C/Tapa Marca Deplayusa</t>
  </si>
  <si>
    <t>MT-ED-CRCFSLE405CHD</t>
  </si>
  <si>
    <t>Caja de Registro tipo FS Serie Rectangular de 13 mm (1/2"), Catalogo FS-1 marca Crouse Hinds</t>
  </si>
  <si>
    <t>MT-ED-CRCFS1012CHD</t>
  </si>
  <si>
    <t>Caja de Registro tipo FS Serie Rectangular de 16 mm (1/2"), Catalogo FS-1 marca Crouse Hinds</t>
  </si>
  <si>
    <t>MT-ED-S1PFB-HBBL</t>
  </si>
  <si>
    <t>Caja para contactos en pis S1PFB, Hubbel.</t>
  </si>
  <si>
    <t>MT-ED-CRG012GEN</t>
  </si>
  <si>
    <t>Caja rectangular  Galvanizada de 1/2" Y 3/4 marca Génerica</t>
  </si>
  <si>
    <t>MT-ED-PEGPVC480SIL</t>
  </si>
  <si>
    <t>Cemento Transparente Para PVC 480grs, Marca SILER o Similar.</t>
  </si>
  <si>
    <t>MT-ED-CTMOT14-480V</t>
  </si>
  <si>
    <t>Centro de Control de Motores, 480V, trifásico, para albergar 14 circuitos trifasicos de 7.5 HP, se considera arrnaque y protección, marca Square D</t>
  </si>
  <si>
    <t>MT-ED-CHM120115CHF</t>
  </si>
  <si>
    <t>Charola Portacables tipo Malla de 200 mm x 115 mm, Catálogo 200-115EZ, marca Charofil con Kit de Unión</t>
  </si>
  <si>
    <t>MT-ED-TY27BL</t>
  </si>
  <si>
    <t>Cinchos sujetacables (ty-rap) de nylon color blanco, de 0,48 cm de ancho x 45 cm de largo</t>
  </si>
  <si>
    <t>MT-ED-342VAR010SCT</t>
  </si>
  <si>
    <t>Cinta de Hule Para Empalmes Scotch® 23</t>
  </si>
  <si>
    <t>MT-ED-CLVMV2332</t>
  </si>
  <si>
    <t>Clavija media vuelta Modelo LV4770C 2P 3H 15A 277 V L7-15</t>
  </si>
  <si>
    <t>MT-ED-CONPDG38</t>
  </si>
  <si>
    <t>Conector Conduit Galvanizado Pared Delgada de 38mm (1 1/2") de Diámetro</t>
  </si>
  <si>
    <t>MT-ED-CONPDG51</t>
  </si>
  <si>
    <t>Conector Conduit Galvanizado pared delgada de 51 mm (2") de diámetro</t>
  </si>
  <si>
    <t>MT-ED-CONPDG12</t>
  </si>
  <si>
    <t>Conector Conduit Galvanizado Pared Delgada de  16mm (1/2") de Diámetro</t>
  </si>
  <si>
    <t>MT-ED-CONPDG21</t>
  </si>
  <si>
    <t>Conector Conduit Galvanizado Pared Delgada de  21 mm (3/4") de Diámetro</t>
  </si>
  <si>
    <t>MT-ED-CONPDG27</t>
  </si>
  <si>
    <t>Conector Conduit Galvanizado Pared Delgada de 27 mm (1") de Diámetro</t>
  </si>
  <si>
    <t>MT-ED-CONPDG35</t>
  </si>
  <si>
    <t>Conector Conduit Galvanizado Pared Delgada de 35mm (1 1/4") de Diámetro</t>
  </si>
  <si>
    <t>MT-ED-342-REX-0802</t>
  </si>
  <si>
    <t>Conector Conduit PVC Pesado de 19MM (3/4") Marca Deplayusa</t>
  </si>
  <si>
    <t>MT-ED-CONECRES-3M</t>
  </si>
  <si>
    <t>Conector de Resorte Rojo-Amarillo, Scotch 3M.</t>
  </si>
  <si>
    <t>MT-ED-CONPDG04</t>
  </si>
  <si>
    <t>Conector Conduit Galvanizado pared delgada de 107 mm (4") de diámetro</t>
  </si>
  <si>
    <t>MT-ED-GLANDULA004</t>
  </si>
  <si>
    <t>Conector Glándula de 1/2" De diámetro Mca. Crouse-Hinds</t>
  </si>
  <si>
    <t>MT-ED-CNVMV2333</t>
  </si>
  <si>
    <t>Conector media vuelta Modelo LV4779C 2P 3W 15A 277 V L7-15</t>
  </si>
  <si>
    <t>MT-ED-CNRLIQ034CHD</t>
  </si>
  <si>
    <t>Conector Recto Tipo Liquid Tight De 21MM (3/4"), Catálogo ELT-7590 Crouse Hinds</t>
  </si>
  <si>
    <t>MT-ED-CNRLIQ100CHD</t>
  </si>
  <si>
    <t>Conector Recto tipo Liquid Tight de 35 mm (1"), Catálogo ELT-1000 Crouse Hinds</t>
  </si>
  <si>
    <t>MT-ED-CN5362W</t>
  </si>
  <si>
    <t>Contacto Dúplex 5362-W 20 A, 127V</t>
  </si>
  <si>
    <t>MT-ED-1001.1.1401</t>
  </si>
  <si>
    <t>Contacto Duplex Decora Falla a Tierra, Modelo7599</t>
  </si>
  <si>
    <t>MT-ED-1635-</t>
  </si>
  <si>
    <t>Contacto Duplex Decora, Modelo 16352</t>
  </si>
  <si>
    <t>MT-ED-CTTPGG012CHD</t>
  </si>
  <si>
    <t>Contratuerca metálica de 16 mm (1/2") marca Crouse Hinds</t>
  </si>
  <si>
    <t>MT-ED-COPPDG114OMG</t>
  </si>
  <si>
    <t>Cople Conduit Galvanizado pared delgada de 32 mm (1 1/4") de diámetro marca Rymco</t>
  </si>
  <si>
    <t>MT-ED-COPPDG001OMG</t>
  </si>
  <si>
    <t>Cople Conduit Galvanizado pared delgada de 27 mm (1") de diámetro Marca Rymco</t>
  </si>
  <si>
    <t>MT-ED-COPPDG034OMG</t>
  </si>
  <si>
    <t>Cople Conduit Galvanizado pared delgada de 21 mm (3/4) de diámetro marca Rymco</t>
  </si>
  <si>
    <t>MT-ED-COPPDG012OMG</t>
  </si>
  <si>
    <t>Cople Conduit Galvanizado pared delgada de 16 mm (1/2") de diámetro marca Rymco</t>
  </si>
  <si>
    <t>MT-ED-COPPDG112OMG</t>
  </si>
  <si>
    <t>Cople Conduit Galvanizado pared delgada de 38 mm (1 1/2") de diámetro marca Rymco</t>
  </si>
  <si>
    <t>MT-ED-COPPDG002OMG</t>
  </si>
  <si>
    <t>Cople Conduit Galvanizado Pared Delgada de 51MM (2") de Diámetro Marca Omega</t>
  </si>
  <si>
    <t>MT-ED-COD-PVC-19</t>
  </si>
  <si>
    <t>Curva Conduit PVC Pesado de 19Mmm (3/4") Marca Deplayusa</t>
  </si>
  <si>
    <t>MT-ED-COD-PVC-38</t>
  </si>
  <si>
    <t>Curva Conduit PVC Peado de 38MM (1 1/4") Marca Deplayusa</t>
  </si>
  <si>
    <t>MT-ED-1001.1.1402</t>
  </si>
  <si>
    <t>Decora Regulado, Modelo T1636-IG</t>
  </si>
  <si>
    <t>MT-LI-4APVTLD</t>
  </si>
  <si>
    <t>Driver Lámpara LED, lineal, Industrial con Alto Flujo Lumínico, 46W. 4APVTLD-SL3C3 Cooper Lighting</t>
  </si>
  <si>
    <t>MT-LI-DLUM-60X50</t>
  </si>
  <si>
    <t>Driver Luminaria LED 2x2`4200lum, UNV Led Flat Panel Fixture.</t>
  </si>
  <si>
    <t>MT-LI--DLUM-LSPOT8</t>
  </si>
  <si>
    <t>Driver Luminaria Led spot 8" Round Waffer 5000k 120-277v</t>
  </si>
  <si>
    <t>MT-LI-TORK2024-001</t>
  </si>
  <si>
    <t>Fotocelda de 220V con ménsula de catálogo 2024, Marca Tork</t>
  </si>
  <si>
    <t>MT-TE-H150SMX</t>
  </si>
  <si>
    <t>Gabinete para Interruptor PowerPact de caja moldeada, NEMA 1, Montaje de Sobreponer, Catálago H150SMX marca Square D</t>
  </si>
  <si>
    <t>MT-TE-HGL36150</t>
  </si>
  <si>
    <t>HGL36150 Square D INT C/ZAPATA 3X150A 35KA-480VAC 65KA-240VAC HGL36150</t>
  </si>
  <si>
    <t>MT-TE.ISGDU221RBQD</t>
  </si>
  <si>
    <t>Interruptor de Seguridad de 2 P 30 A, NEMA 3R, Servicio Pesado, 240 VCA, Catálogo DU221RB marca Square D.</t>
  </si>
  <si>
    <t>MT-TE-DU322RB</t>
  </si>
  <si>
    <t>Interruptor de Seguridad de 3P 30 A, NEMA 3R, Servicio Pesado, 240 VCA, Catálogo DU322RB. marca Square D</t>
  </si>
  <si>
    <t>MT-TE-HU361RB</t>
  </si>
  <si>
    <t>Interruptor de Seguridad de Servicio Pesado de 3P 30A, a 600VCA, 3F, 60 Hz, NEMA 3R, Catalogo HU361RB marca Square D</t>
  </si>
  <si>
    <t>MT-TE-EDB14015</t>
  </si>
  <si>
    <t>Interruptor Termomagnético de 1 P 15 A, 18 kA a 480 VCA, Catálogo EDB14015 marca Square D</t>
  </si>
  <si>
    <t>MT-TE-QO115</t>
  </si>
  <si>
    <t>Interruptor Termomagnético de 1 P 15 A, 10 kA a 220 VCA, Catálogo QO115 marca Square D</t>
  </si>
  <si>
    <t>MT-TE-QO120</t>
  </si>
  <si>
    <t>Interruptor Termomagnético de 1 P 20 A, 10 kA a 220 VCA, Catálogo QO120 Marca Square D</t>
  </si>
  <si>
    <t>MT-TE-QO220</t>
  </si>
  <si>
    <t>Interruptor Termomagnético de 2 P 20 A, 10 kA a 220 VCA, Catálogo QO220 Marca Square D</t>
  </si>
  <si>
    <t>MT-TE-HGA36100</t>
  </si>
  <si>
    <t>Interruptor Termomagnético de 3 P 100 A, 35 kA a 480 VCA, Catálogo HGA36100 marca Square D</t>
  </si>
  <si>
    <t>MT-TE-HGA36150</t>
  </si>
  <si>
    <t>Interruptor Termomagnético de 3 P 150 A, 35 kA a 480 VCA, Catálogo HGA36150 marca Square D.</t>
  </si>
  <si>
    <t>MT-TE-QO320</t>
  </si>
  <si>
    <t>Interruptor Termomagnético de 3 P 20 A, 10 kA a 220 VCA, Catálogo QO320 marca Square D.</t>
  </si>
  <si>
    <t>MT-TE-HGA36050</t>
  </si>
  <si>
    <t>Interruptor Termomagnético de 3 P 50 A, 35 kA a 480 VCA, Catálogo HGA36050 marca Square D</t>
  </si>
  <si>
    <t>MT-LI-4APVTLD1</t>
  </si>
  <si>
    <t>Lámpara LED, lineal, Industrial con Alto Flujo Lumínico, 46W. 4APVTLD-SL3C3 Cooper Lighting</t>
  </si>
  <si>
    <t>MT-LI-LVT569102W</t>
  </si>
  <si>
    <t>Levinton apagador decora plus 15A 120/277 color blanco 05691-02W</t>
  </si>
  <si>
    <t>MT-LI-HBLEDED2U</t>
  </si>
  <si>
    <t>Luminaria high bay HBLED-LD5-30HE-W-UNV-L850-ED2-U</t>
  </si>
  <si>
    <t>MT-LI-60X60</t>
  </si>
  <si>
    <t>Luminaria LED 2x2`4200lum, UNV Led Flat Panel Fixture.</t>
  </si>
  <si>
    <t>MT-LI-LSPOT8</t>
  </si>
  <si>
    <t>Luminaria Led spot 8" Round Waffer 5000k 120-277v</t>
  </si>
  <si>
    <t>MT-LI-MEFOCE</t>
  </si>
  <si>
    <t>Mensula para Fotocelda Tork 9900</t>
  </si>
  <si>
    <t>MT-ED-MNTPGG012CHD</t>
  </si>
  <si>
    <t>Monitor metálico de 16 mm (1/2") marca Crouse Hinds</t>
  </si>
  <si>
    <t>MT-ED-VAR-0012</t>
  </si>
  <si>
    <t>Mordaza para Varilla Roscada de 3/8"</t>
  </si>
  <si>
    <t>MT-ED-VAR-0011</t>
  </si>
  <si>
    <t>Mordaza para Varilla roscada de 1/4"</t>
  </si>
  <si>
    <t>MT-ED-VAR-0036</t>
  </si>
  <si>
    <t>Mordaza Perro para Cable de 1/8"</t>
  </si>
  <si>
    <t>MT-ED-UOC4X2PEFANC</t>
  </si>
  <si>
    <t>Perfil Unicanal Perforado Cal. 14 4X2 (Tramo de  3.00 mts), Catálogo UOC4X2 Marco Anclo</t>
  </si>
  <si>
    <t>MT-ED-UOC4X4PEFANC</t>
  </si>
  <si>
    <t>Perfil Unicanal Perforado Cal. 14 4X4 (Tramo de 3.00 mts), Catálogo UOC4X4 Marca Anclo</t>
  </si>
  <si>
    <t>MT-ED-318-TOR-0101</t>
  </si>
  <si>
    <t>PIJA</t>
  </si>
  <si>
    <t>MT-ED-318TOR0101GEN</t>
  </si>
  <si>
    <t>Pija Cabeza Hexagonal de 1/4" X 2"</t>
  </si>
  <si>
    <t>MT-ED-PLACIEBLA</t>
  </si>
  <si>
    <t>Placa ciega blanca</t>
  </si>
  <si>
    <t>MT-ED-342-CWD-2236</t>
  </si>
  <si>
    <t>Placa de Pared Decora 1 Gang</t>
  </si>
  <si>
    <t>MT-ED-80701W</t>
  </si>
  <si>
    <t>Placa de Pared en nylon color blanco, Catálogo 80701-W marca Leviton</t>
  </si>
  <si>
    <t>MT-ED-CNP84003</t>
  </si>
  <si>
    <t>Placa leviton 84003</t>
  </si>
  <si>
    <t>MT-ED-PLAC-TUBCHA</t>
  </si>
  <si>
    <t>Placa salida para tuberia 3/4"  de charola tipo malla</t>
  </si>
  <si>
    <t>MT-ED-RECEFO</t>
  </si>
  <si>
    <t>Receptaculo para Fotocelda Tork 2224-1 Recefo.</t>
  </si>
  <si>
    <t>MT-ED-R21034012CHD</t>
  </si>
  <si>
    <t>Reducción Bushing de 21x16 mm (3/4" -1/2") Catalogo RE-21 marca Crouse Hinds</t>
  </si>
  <si>
    <t>MT-ED-R31001012CHD</t>
  </si>
  <si>
    <t>Reducción Bushing de 27x16 mm (1" - 1/2") Catalogo RE-31 marca Crouse Hinds</t>
  </si>
  <si>
    <t>MT-ED-R32001034CHD</t>
  </si>
  <si>
    <t>Reducción Bushing de 27x21 mm (1"- 3/4") Catalogo  RE-32 marca Crouse Hinds</t>
  </si>
  <si>
    <t>MT-BPR-REG505050</t>
  </si>
  <si>
    <t>Registro conico 50x 50</t>
  </si>
  <si>
    <t>MT-BPR-RPC44040TDPP</t>
  </si>
  <si>
    <t>Registro prefabricado de concreto hidráulico para alumbrado, de 40 cm X 40 cm X 40 cm, con marco galvanizado y tapa de concreto</t>
  </si>
  <si>
    <t>MT-ED-HBBL-S1SP4X4</t>
  </si>
  <si>
    <t>Sistema de cableado Hubbell S1SP4X4PA de aluminio fundido One Panduit Mini Com 4 x 4 subplaca</t>
  </si>
  <si>
    <t>MT-TE-NF304AB02S</t>
  </si>
  <si>
    <t>Tablero de Distribución NF con Interruptor principal de 3 P 100 A, 18 circuitos, 3F, 4H, 480 V, Montaje de  Sobreponer, Catálogo NF304AB02S Marca Square D.</t>
  </si>
  <si>
    <t>MT-TE-NQ304AB225S</t>
  </si>
  <si>
    <t>Tablero de Distribución NQ con Interruptor principal de 3 P 200 A, 30 circuitos, 3F, 4H, 220 V, Montaje de  Sobreponer, Catálogo NQ304AB225S marca Square D</t>
  </si>
  <si>
    <t>MT-TE-342-SQD-3515</t>
  </si>
  <si>
    <t>TABLERO I-LINE 400A,18 CTO. LA400M181B</t>
  </si>
  <si>
    <t>MT-ED-TCPGEN</t>
  </si>
  <si>
    <t>Tapa Ciega Plana, Marca Génerica</t>
  </si>
  <si>
    <t>MT-ED-TAPAL-S1T</t>
  </si>
  <si>
    <t>Tapa de aluminio para contactos en piso S1TFCAL, Hubbel.</t>
  </si>
  <si>
    <t>MT-ED-TAP-273DRG</t>
  </si>
  <si>
    <t>Tapón aislado 25 kV, 200 A, 273DRG, Elastimold.</t>
  </si>
  <si>
    <t>MT-ED-327-HER-4103</t>
  </si>
  <si>
    <t>TAQUETE</t>
  </si>
  <si>
    <t>MT-ED-MTAQ3/811/4</t>
  </si>
  <si>
    <t>Taquete para pija de 1/4” X 2”</t>
  </si>
  <si>
    <t>MT-ED-327HER4103THR</t>
  </si>
  <si>
    <t>Taquete Rojo de Plástico de 1/4" marca Thorsman</t>
  </si>
  <si>
    <t>MT-ED-VAR-0111</t>
  </si>
  <si>
    <t>TORNILLO DE 3/8"x1"</t>
  </si>
  <si>
    <t>MT-TE-TRPED-1000KVA</t>
  </si>
  <si>
    <t>Transformador tipo Pedestal TR-02 de 1000 kVA conexión delta-estrella, relación de transformación 23,000-480/277V., operación en anillo, con cambiador de derivación al 2% del voltaje nominal, 2 arriba y 2 abajo.</t>
  </si>
  <si>
    <t>MT-ED-TBCPVP034DPY</t>
  </si>
  <si>
    <t>Tubería Conduit de P.V.C. tipo Pesado de 19 mm (3/4") de diámetro (Tramo de 3.00 mts de longitud), marca Deplayusa</t>
  </si>
  <si>
    <t>MT-ED-TBCPVP114DPY</t>
  </si>
  <si>
    <t>Tubería Conduit de P.V.C. tipo Pesado de 35 mm (1 1/4") de diámetro (Tramo de 3.00 mts de longitud), marca Deplayusa</t>
  </si>
  <si>
    <t>MT-ED-TPVCP19-DPY</t>
  </si>
  <si>
    <t>Tubería Conduit P.V.C. tipo pesado de 19 mm (3/4") en Tramo de 3.00 mts de longitud, Marca Deplayusa o similar</t>
  </si>
  <si>
    <t>MT-ED-TPDG112-OMEGA</t>
  </si>
  <si>
    <t>Tubo Conduit Pared Delgada Galvanizada (EMT) de 38 mm (1 1/2") de diámetro, sin cople marca Rymco</t>
  </si>
  <si>
    <t>MT-ED-TPDG34-OMEGA</t>
  </si>
  <si>
    <t>Tubo Conduit Pared Delgada Galvanizada (EMT) de 21 mm (3/4") de diámetro, sin cople marca Rymco</t>
  </si>
  <si>
    <t>MT-ED-TPDG12-OMEGA</t>
  </si>
  <si>
    <t>Tubo Conduit Pared Delgada Galvanizada (EMT) de 16 mm (1/2") de diámetro, sin cople marca Rymco</t>
  </si>
  <si>
    <t>MT-ED-TPDG51-OMEGA</t>
  </si>
  <si>
    <t>Tubo Conduit Pared Delgada Galvanizada (EMT) de 51 mm (2") de diámetro, sin cople marca Rymco</t>
  </si>
  <si>
    <t>MT-ED-TPDG114-OMEGA</t>
  </si>
  <si>
    <t>Tubo Conduit Pared Delgada Galvanizada (EMT) de 32 mm (1 1/4") de diámetro, sin cople marca Rymco</t>
  </si>
  <si>
    <t>MT-ED-TPDG27-OMEGA</t>
  </si>
  <si>
    <t>Tubo Conduit Pared Delgada Galvanizada (EMT) de 27 mm (1") de diámetro, sin cople marca Rymco</t>
  </si>
  <si>
    <t>MT-ED-TBCLIQ100TMF</t>
  </si>
  <si>
    <t>Tubo Metálico Flexible tipo Liquid Tight de 27 mm (1") marca Tubos Flexibles Mexicanos</t>
  </si>
  <si>
    <t>MT-ED-TBCLIQ034TMF</t>
  </si>
  <si>
    <t>Tubo Metálico Flexible tipo Liquid Tight de 21 mm (3/4") marca Tubos Flexibles Mexicanos</t>
  </si>
  <si>
    <t>MT-ED-354-VAR-0108</t>
  </si>
  <si>
    <t>TUERCA Y RONDANA</t>
  </si>
  <si>
    <t>JGO</t>
  </si>
  <si>
    <t>MT-ED-342-BTC-3358</t>
  </si>
  <si>
    <t>Varilla Roscada Galvanizada de 3/8" (Tramo de 3 mts.), MVR-3/8-3</t>
  </si>
  <si>
    <t>MT-ED-354-SCL-0102</t>
  </si>
  <si>
    <t>Varilla Roscada SC-146 de 1/4 x 3 M</t>
  </si>
  <si>
    <t>MT-ED-YA28L17</t>
  </si>
  <si>
    <t>Zapata Terminal de Cobre Cal. Del Con. 4/0 Awg Tor. De 5/8 Mca. Burndy</t>
  </si>
  <si>
    <t>Categoria</t>
  </si>
  <si>
    <t>MO-AYU002</t>
  </si>
  <si>
    <t>Ayudante eléctrico</t>
  </si>
  <si>
    <t>JOR</t>
  </si>
  <si>
    <t>MO-01</t>
  </si>
  <si>
    <t>Ayudante Especializado</t>
  </si>
  <si>
    <t>EQHIAB</t>
  </si>
  <si>
    <t>Grúa HIAB montada en camion de 12 ton</t>
  </si>
  <si>
    <t>HOR</t>
  </si>
  <si>
    <t>MO-OFEL001</t>
  </si>
  <si>
    <t>Oficial eléctrico</t>
  </si>
  <si>
    <t>MO-02</t>
  </si>
  <si>
    <t>Oficial Eléctrico de Primera</t>
  </si>
  <si>
    <t>%AND</t>
  </si>
  <si>
    <t>Andamios</t>
  </si>
  <si>
    <t>%</t>
  </si>
  <si>
    <t>CABO001</t>
  </si>
  <si>
    <t>Cabo de oficios</t>
  </si>
  <si>
    <t>MO-CABO01</t>
  </si>
  <si>
    <t>%M.O.</t>
  </si>
  <si>
    <t>%CDO</t>
  </si>
  <si>
    <t>Cabos de Oficios</t>
  </si>
  <si>
    <t>%EPP</t>
  </si>
  <si>
    <t>Equipo Protección Personal</t>
  </si>
  <si>
    <t>%HMM</t>
  </si>
  <si>
    <t>Herramienta Menor</t>
  </si>
  <si>
    <t>%HERR</t>
  </si>
  <si>
    <t>Herramienta menor</t>
  </si>
  <si>
    <t>%MO3</t>
  </si>
  <si>
    <t>Materiales menores</t>
  </si>
  <si>
    <t>%MTMR</t>
  </si>
  <si>
    <t>Materiales Menores de Instalación</t>
  </si>
  <si>
    <t>MO-</t>
  </si>
  <si>
    <r>
      <t xml:space="preserve">Suministro e instalación de Tubo conduit metálico pared delgada galvanizado de 16 mm.
</t>
    </r>
    <r>
      <rPr>
        <sz val="12"/>
        <rFont val="Swis721 LtCn"/>
      </rPr>
      <t xml:space="preserve">
Incluye: cargo directo por el costo de mano de obra especializada para su correcta instalación y operación, flete, maniobras de montaje verticales y horizontales, equipo especial para elevación, pruebas, ajustes, puesta en marcha, limpieza, retiro de sobrantes fuera de la obra y equipo de seguridad del personal involucrado. P.U.O.T</t>
    </r>
    <r>
      <rPr>
        <b/>
        <sz val="12"/>
        <rFont val="Swis721 LtCn"/>
      </rPr>
      <t>.</t>
    </r>
  </si>
  <si>
    <r>
      <t>Suministro e instalación de Tubo Conduit metálico pared delgada galvanizado de 21 mm._x000D_
_x000D_</t>
    </r>
    <r>
      <rPr>
        <sz val="12"/>
        <rFont val="Swis721 LtCn"/>
      </rPr>
      <t xml:space="preserve">
Incluye: cargo directo por el costo de mano de obra especializada para su correcta instalación y operación, flete, maniobras de montaje verticales y horizontales, equipo especial para elevación, pruebas, ajustes, puesta en marcha, limpieza, retiro de sobrantes fuera de la obra y equipo de seguridad del personal involucrado. P.U.O.T</t>
    </r>
    <r>
      <rPr>
        <b/>
        <sz val="12"/>
        <rFont val="Swis721 LtCn"/>
      </rPr>
      <t>.</t>
    </r>
  </si>
  <si>
    <r>
      <t>Suministro e instalación de Tubo Conduit metálico pared delgada galvanizado de 27 mm._x000D_
_x000D_</t>
    </r>
    <r>
      <rPr>
        <sz val="12"/>
        <rFont val="Swis721 LtCn"/>
      </rPr>
      <t xml:space="preserve">
Incluye: cargo directo por el costo de mano de obra especializada para su correcta instalación y operación, flete, maniobras de montaje verticales y horizontales, equipo especial para elevación, pruebas, ajustes, puesta en marcha, limpieza, retiro de sobrantes fuera de la obra y equipo de seguridad del personal involucrado. P.U.O.T</t>
    </r>
    <r>
      <rPr>
        <b/>
        <sz val="12"/>
        <rFont val="Swis721 LtCn"/>
      </rPr>
      <t>.</t>
    </r>
  </si>
  <si>
    <r>
      <t>Suministro e instalación de Caja registro galvanizada de 10.2 x 10.2 x 3.8 cm_x000D_
_x000D_</t>
    </r>
    <r>
      <rPr>
        <sz val="12"/>
        <rFont val="Swis721 LtCn"/>
      </rPr>
      <t xml:space="preserve">
Incluye: cargo directo por el costo de mano de obra especializada para su correcta instalación y operación, flete, maniobras de montaje verticales y horizontales, equipo especial para elevación, pruebas, ajustes, puesta en marcha, limpieza, retiro de sobrantes fuera de la obra y equipo de seguridad del personal involucrado. P.U.O.T</t>
    </r>
    <r>
      <rPr>
        <b/>
        <sz val="12"/>
        <rFont val="Swis721 LtCn"/>
      </rPr>
      <t>.</t>
    </r>
  </si>
  <si>
    <r>
      <t xml:space="preserve">Alimentacion de tablero cuarto de bombas a caseta 1 en 480 
</t>
    </r>
    <r>
      <rPr>
        <sz val="12"/>
        <rFont val="Swis721 LtCn"/>
      </rPr>
      <t xml:space="preserve">
Incluye: accesorios, materiales, mano de obra especializada, herramienta,  equipo de seguridad, equipo de trabajo</t>
    </r>
    <r>
      <rPr>
        <b/>
        <sz val="12"/>
        <rFont val="Swis721 LtCn"/>
      </rPr>
      <t>.</t>
    </r>
  </si>
  <si>
    <r>
      <t>Alimentacion de tablero cuarto de bombas a caseta 1 en 480 _x000D_
_x000D_</t>
    </r>
    <r>
      <rPr>
        <sz val="12"/>
        <rFont val="Swis721 LtCn"/>
      </rPr>
      <t xml:space="preserve">
Incluye: accesorios, materiales, mano de obra especializada, herramienta,  equipo de seguridad, equipo de trabajo</t>
    </r>
    <r>
      <rPr>
        <b/>
        <sz val="12"/>
        <rFont val="Swis721 LtCn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</si>
</sst>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4" formatCode="_-&quot;$&quot;* #,##0.00_-;\-&quot;$&quot;* #,##0.00_-;_-&quot;$&quot;* &quot;-&quot;??_-;_-@_-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-&quot;$&quot;* #,##0.00_-;\-&quot;$&quot;* #,##0.00_-;_-&quot;$&quot;* &quot;-&quot;??_-;_-@"/>
    <numFmt numFmtId="168" formatCode="00\ \-"/>
    <numFmt numFmtId="169" formatCode="0.000000"/>
    <numFmt numFmtId="170" formatCode="&quot;$&quot;#,##0.00"/>
    <numFmt numFmtId="171" formatCode="0.000000%"/>
    <numFmt numFmtId="172" formatCode="#\ &quot;meses&quot;"/>
    <numFmt numFmtId="173" formatCode="_-* #,##0.0000_-;\-* #,##0.0000_-;_-* &quot;-&quot;??_-;_-@_-"/>
    <numFmt numFmtId="174" formatCode="0.0000%"/>
    <numFmt numFmtId="175" formatCode="[$-F800]dddd\,\ mmmm\ dd\,\ yyyy"/>
  </numFmts>
  <fonts count="76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Swis721 Lt BT"/>
      <family val="2"/>
    </font>
    <font>
      <b/>
      <sz val="20"/>
      <color theme="1"/>
      <name val="Swis721 Cn BT"/>
      <family val="2"/>
    </font>
    <font>
      <sz val="13"/>
      <color theme="1"/>
      <name val="Swis721 Lt BT"/>
      <family val="2"/>
    </font>
    <font>
      <b/>
      <sz val="12"/>
      <color theme="1"/>
      <name val="Swis721 Lt BT"/>
      <family val="2"/>
    </font>
    <font>
      <sz val="11"/>
      <name val="Calibri"/>
      <family val="2"/>
    </font>
    <font>
      <b/>
      <sz val="12"/>
      <color theme="0"/>
      <name val="Swis721 Lt BT"/>
      <family val="2"/>
    </font>
    <font>
      <i/>
      <sz val="12"/>
      <color rgb="FF3F3F3F"/>
      <name val="Swis721 Lt BT"/>
      <family val="2"/>
    </font>
    <font>
      <sz val="12"/>
      <color rgb="FF0F2AF5"/>
      <name val="Swis721 Lt BT"/>
      <family val="2"/>
    </font>
    <font>
      <i/>
      <sz val="12"/>
      <color theme="1"/>
      <name val="Swis721 Lt BT"/>
      <family val="2"/>
    </font>
    <font>
      <sz val="11"/>
      <color theme="1"/>
      <name val="Aptos Narrow"/>
      <family val="2"/>
      <scheme val="minor"/>
    </font>
    <font>
      <sz val="8"/>
      <name val="Arial"/>
      <family val="2"/>
    </font>
    <font>
      <b/>
      <sz val="12"/>
      <color theme="0"/>
      <name val="Swis721 Lt BT"/>
      <family val="2"/>
    </font>
    <font>
      <sz val="12"/>
      <color theme="1"/>
      <name val="Swis721 Lt BT"/>
      <family val="2"/>
    </font>
    <font>
      <b/>
      <sz val="12"/>
      <color theme="1"/>
      <name val="Swis721 Lt BT"/>
      <family val="2"/>
    </font>
    <font>
      <sz val="8"/>
      <color rgb="FF000000"/>
      <name val="Segoe UI"/>
      <family val="2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Swis721 LtCn BT"/>
      <family val="2"/>
    </font>
    <font>
      <b/>
      <sz val="13"/>
      <color theme="1"/>
      <name val="Swis721 Cn BT"/>
      <family val="2"/>
    </font>
    <font>
      <b/>
      <sz val="11"/>
      <color theme="1"/>
      <name val="Swis721 LtCn BT"/>
      <family val="2"/>
    </font>
    <font>
      <sz val="11"/>
      <color theme="1"/>
      <name val="Swis721 LtCn BT"/>
      <family val="2"/>
    </font>
    <font>
      <sz val="12"/>
      <color theme="1"/>
      <name val="Swis721 LtCn BT"/>
      <family val="2"/>
    </font>
    <font>
      <b/>
      <sz val="13"/>
      <color theme="1" tint="0.249977111117893"/>
      <name val="Swis721 Cn BT"/>
      <family val="2"/>
    </font>
    <font>
      <b/>
      <sz val="12"/>
      <color theme="1"/>
      <name val="Swis721 Cn BT"/>
      <family val="2"/>
    </font>
    <font>
      <sz val="12"/>
      <color theme="1"/>
      <name val="Swis721 Cn BT"/>
      <family val="2"/>
    </font>
    <font>
      <b/>
      <sz val="10"/>
      <color theme="1"/>
      <name val="Swis721 Cn BT"/>
      <family val="2"/>
    </font>
    <font>
      <b/>
      <sz val="12"/>
      <color theme="0"/>
      <name val="Swis721 Cn BT"/>
      <family val="2"/>
    </font>
    <font>
      <b/>
      <sz val="12"/>
      <color theme="1"/>
      <name val="Aptos Narrow"/>
      <family val="2"/>
      <scheme val="minor"/>
    </font>
    <font>
      <b/>
      <sz val="12"/>
      <name val="Swis721 Cn BT"/>
      <family val="2"/>
    </font>
    <font>
      <sz val="11"/>
      <color rgb="FF000000"/>
      <name val="Swis721 LtCn BT"/>
      <family val="2"/>
    </font>
    <font>
      <b/>
      <sz val="14"/>
      <color theme="1"/>
      <name val="Swis721 BT"/>
      <family val="2"/>
    </font>
    <font>
      <b/>
      <sz val="12"/>
      <color theme="1"/>
      <name val="Swis721 BT"/>
      <family val="2"/>
    </font>
    <font>
      <sz val="11"/>
      <color theme="1"/>
      <name val="Swis721 Lt BT"/>
      <family val="2"/>
    </font>
    <font>
      <b/>
      <sz val="11"/>
      <color theme="1"/>
      <name val="Swis721 BT"/>
      <family val="2"/>
    </font>
    <font>
      <b/>
      <sz val="12"/>
      <color theme="1"/>
      <name val="Swis721 LtCn BT"/>
      <family val="2"/>
    </font>
    <font>
      <sz val="12"/>
      <name val="Swis721 Lt BT"/>
      <family val="2"/>
    </font>
    <font>
      <b/>
      <sz val="12"/>
      <name val="Swis721 BT"/>
      <family val="2"/>
    </font>
    <font>
      <b/>
      <sz val="11"/>
      <color theme="0"/>
      <name val="Swis721 BT"/>
      <family val="2"/>
    </font>
    <font>
      <b/>
      <sz val="12"/>
      <color theme="0"/>
      <name val="Swis721 BT"/>
      <family val="2"/>
    </font>
    <font>
      <sz val="11"/>
      <name val="Swis721 Lt BT"/>
      <family val="2"/>
    </font>
    <font>
      <b/>
      <u/>
      <sz val="11"/>
      <color rgb="FF000000"/>
      <name val="Swis721 LtCn BT"/>
      <family val="2"/>
    </font>
    <font>
      <b/>
      <sz val="11"/>
      <color rgb="FF000000"/>
      <name val="Swis721 LtCn BT"/>
      <family val="2"/>
    </font>
    <font>
      <sz val="13"/>
      <color theme="1"/>
      <name val="Swis721 Lt BT"/>
      <family val="2"/>
    </font>
    <font>
      <b/>
      <sz val="14"/>
      <color theme="1"/>
      <name val="Swis721 Cn BT"/>
      <family val="2"/>
    </font>
    <font>
      <b/>
      <sz val="16"/>
      <color theme="1"/>
      <name val="Swis721 Cn BT"/>
      <family val="2"/>
    </font>
    <font>
      <b/>
      <sz val="15"/>
      <color theme="1"/>
      <name val="Swis721 Cn BT"/>
      <family val="2"/>
    </font>
    <font>
      <sz val="14"/>
      <color theme="1"/>
      <name val="Swis721 Cn BT"/>
      <family val="2"/>
    </font>
    <font>
      <sz val="13"/>
      <color theme="1"/>
      <name val="Aptos Narrow"/>
      <family val="2"/>
      <scheme val="minor"/>
    </font>
    <font>
      <i/>
      <sz val="13"/>
      <color rgb="FFFF0000"/>
      <name val="Swis721 Lt BT"/>
      <family val="2"/>
    </font>
    <font>
      <sz val="13"/>
      <color rgb="FFFF0000"/>
      <name val="Swis721 Lt BT"/>
      <family val="2"/>
    </font>
    <font>
      <sz val="13"/>
      <color theme="1" tint="0.249977111117893"/>
      <name val="Swis721 Cn BT"/>
      <family val="2"/>
    </font>
    <font>
      <sz val="10.5"/>
      <color theme="1"/>
      <name val="Swis721 Lt BT"/>
      <family val="2"/>
    </font>
    <font>
      <u/>
      <sz val="13"/>
      <color theme="8" tint="-0.249977111117893"/>
      <name val="Swis721 Lt BT"/>
      <family val="2"/>
    </font>
    <font>
      <i/>
      <sz val="11"/>
      <color theme="1"/>
      <name val="Swis721 Lt BT"/>
      <family val="2"/>
    </font>
    <font>
      <b/>
      <sz val="13"/>
      <color theme="0"/>
      <name val="Swis721 Cn BT"/>
      <family val="2"/>
    </font>
    <font>
      <i/>
      <sz val="13"/>
      <color theme="1" tint="0.499984740745262"/>
      <name val="Swis721 Cn BT"/>
      <family val="2"/>
    </font>
    <font>
      <sz val="13"/>
      <color theme="1"/>
      <name val="Swis721 Cn BT"/>
      <family val="2"/>
    </font>
    <font>
      <i/>
      <sz val="13"/>
      <color theme="1" tint="0.249977111117893"/>
      <name val="Swis721 Cn BT"/>
      <family val="2"/>
    </font>
    <font>
      <b/>
      <sz val="13"/>
      <color theme="0" tint="-4.9989318521683403E-2"/>
      <name val="Swis721 Cn BT"/>
      <family val="2"/>
    </font>
    <font>
      <i/>
      <sz val="13"/>
      <color theme="1" tint="0.499984740745262"/>
      <name val="Swis721 Lt BT"/>
      <family val="2"/>
    </font>
    <font>
      <i/>
      <sz val="13"/>
      <color theme="1"/>
      <name val="Swis721 Cn BT"/>
      <family val="2"/>
    </font>
    <font>
      <b/>
      <sz val="20"/>
      <color theme="1"/>
      <name val="Swis721 Cn BT"/>
      <family val="2"/>
    </font>
    <font>
      <sz val="11"/>
      <name val="Calibri"/>
      <family val="2"/>
    </font>
    <font>
      <i/>
      <sz val="12"/>
      <color rgb="FF3F3F3F"/>
      <name val="Swis721 Lt BT"/>
      <family val="2"/>
    </font>
    <font>
      <sz val="12"/>
      <color rgb="FF0F2AF5"/>
      <name val="Swis721 Lt BT"/>
      <family val="2"/>
    </font>
    <font>
      <i/>
      <sz val="12"/>
      <color theme="1"/>
      <name val="Swis721 Lt B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8"/>
      <name val="Aptos Narrow"/>
      <family val="2"/>
      <scheme val="minor"/>
    </font>
    <font>
      <b/>
      <sz val="12"/>
      <name val="Swis721 LtCn"/>
    </font>
    <font>
      <sz val="12"/>
      <name val="Swis721 LtCn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F0000"/>
        <bgColor rgb="FFFF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451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thin">
        <color theme="1" tint="0.24994659260841701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 style="thin">
        <color theme="1" tint="0.24994659260841701"/>
      </bottom>
      <diagonal/>
    </border>
    <border>
      <left/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</borders>
  <cellStyleXfs count="11">
    <xf numFmtId="0" fontId="0" fillId="0" borderId="0"/>
    <xf numFmtId="165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72" fillId="0" borderId="0"/>
    <xf numFmtId="0" fontId="72" fillId="0" borderId="0"/>
    <xf numFmtId="13" fontId="72" fillId="0" borderId="0" applyFont="0" applyFill="0" applyProtection="0"/>
  </cellStyleXfs>
  <cellXfs count="450">
    <xf numFmtId="0" fontId="0" fillId="0" borderId="0" xfId="0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" fillId="0" borderId="1" xfId="0" applyFont="1" applyBorder="1" applyAlignment="1">
      <alignment vertical="center" wrapText="1"/>
    </xf>
    <xf numFmtId="167" fontId="4" fillId="0" borderId="1" xfId="0" applyNumberFormat="1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1" fillId="0" borderId="3" xfId="0" applyFont="1" applyBorder="1" applyAlignment="1">
      <alignment horizontal="right" vertical="center"/>
    </xf>
    <xf numFmtId="0" fontId="11" fillId="0" borderId="4" xfId="0" applyFont="1" applyBorder="1" applyAlignment="1">
      <alignment vertical="center"/>
    </xf>
    <xf numFmtId="167" fontId="11" fillId="0" borderId="3" xfId="0" applyNumberFormat="1" applyFont="1" applyBorder="1" applyAlignment="1">
      <alignment vertical="center"/>
    </xf>
    <xf numFmtId="10" fontId="11" fillId="0" borderId="4" xfId="0" applyNumberFormat="1" applyFont="1" applyBorder="1" applyAlignment="1">
      <alignment vertical="center"/>
    </xf>
    <xf numFmtId="0" fontId="12" fillId="0" borderId="3" xfId="0" applyFont="1" applyBorder="1" applyAlignment="1">
      <alignment horizontal="left" vertical="center"/>
    </xf>
    <xf numFmtId="0" fontId="10" fillId="2" borderId="5" xfId="0" applyFont="1" applyFill="1" applyBorder="1" applyAlignment="1">
      <alignment vertical="center"/>
    </xf>
    <xf numFmtId="168" fontId="4" fillId="2" borderId="5" xfId="0" applyNumberFormat="1" applyFont="1" applyFill="1" applyBorder="1" applyAlignment="1">
      <alignment horizontal="right" vertical="center"/>
    </xf>
    <xf numFmtId="167" fontId="4" fillId="2" borderId="5" xfId="0" applyNumberFormat="1" applyFont="1" applyFill="1" applyBorder="1" applyAlignment="1">
      <alignment vertical="center"/>
    </xf>
    <xf numFmtId="10" fontId="4" fillId="2" borderId="0" xfId="0" applyNumberFormat="1" applyFont="1" applyFill="1" applyAlignment="1">
      <alignment vertical="center"/>
    </xf>
    <xf numFmtId="0" fontId="12" fillId="2" borderId="5" xfId="0" applyFont="1" applyFill="1" applyBorder="1" applyAlignment="1">
      <alignment horizontal="left" vertical="center"/>
    </xf>
    <xf numFmtId="0" fontId="10" fillId="0" borderId="5" xfId="0" applyFont="1" applyBorder="1" applyAlignment="1">
      <alignment vertical="center"/>
    </xf>
    <xf numFmtId="168" fontId="4" fillId="0" borderId="5" xfId="0" applyNumberFormat="1" applyFont="1" applyBorder="1" applyAlignment="1">
      <alignment horizontal="right" vertical="center"/>
    </xf>
    <xf numFmtId="167" fontId="4" fillId="0" borderId="5" xfId="0" applyNumberFormat="1" applyFont="1" applyBorder="1" applyAlignment="1">
      <alignment vertical="center"/>
    </xf>
    <xf numFmtId="10" fontId="4" fillId="0" borderId="0" xfId="0" applyNumberFormat="1" applyFont="1" applyAlignment="1">
      <alignment vertical="center"/>
    </xf>
    <xf numFmtId="0" fontId="12" fillId="0" borderId="5" xfId="0" applyFont="1" applyBorder="1" applyAlignment="1">
      <alignment horizontal="left" vertical="center"/>
    </xf>
    <xf numFmtId="0" fontId="10" fillId="2" borderId="6" xfId="0" applyFont="1" applyFill="1" applyBorder="1" applyAlignment="1">
      <alignment vertical="center"/>
    </xf>
    <xf numFmtId="168" fontId="4" fillId="2" borderId="6" xfId="0" applyNumberFormat="1" applyFont="1" applyFill="1" applyBorder="1" applyAlignment="1">
      <alignment horizontal="right" vertical="center"/>
    </xf>
    <xf numFmtId="167" fontId="4" fillId="0" borderId="6" xfId="0" applyNumberFormat="1" applyFont="1" applyBorder="1" applyAlignment="1">
      <alignment vertical="center"/>
    </xf>
    <xf numFmtId="10" fontId="4" fillId="0" borderId="1" xfId="0" applyNumberFormat="1" applyFont="1" applyBorder="1" applyAlignment="1">
      <alignment vertical="center"/>
    </xf>
    <xf numFmtId="0" fontId="12" fillId="0" borderId="6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168" fontId="4" fillId="0" borderId="0" xfId="0" applyNumberFormat="1" applyFont="1" applyAlignment="1">
      <alignment horizontal="right" vertical="center"/>
    </xf>
    <xf numFmtId="167" fontId="4" fillId="0" borderId="0" xfId="0" applyNumberFormat="1" applyFont="1" applyAlignment="1">
      <alignment vertical="center"/>
    </xf>
    <xf numFmtId="0" fontId="12" fillId="0" borderId="0" xfId="0" applyFont="1" applyAlignment="1">
      <alignment horizontal="left" vertical="center"/>
    </xf>
    <xf numFmtId="0" fontId="11" fillId="0" borderId="7" xfId="0" applyFont="1" applyBorder="1" applyAlignment="1">
      <alignment horizontal="right" vertical="center"/>
    </xf>
    <xf numFmtId="168" fontId="4" fillId="2" borderId="8" xfId="0" applyNumberFormat="1" applyFont="1" applyFill="1" applyBorder="1" applyAlignment="1">
      <alignment horizontal="right" vertical="center"/>
    </xf>
    <xf numFmtId="168" fontId="4" fillId="0" borderId="8" xfId="0" applyNumberFormat="1" applyFont="1" applyBorder="1" applyAlignment="1">
      <alignment horizontal="right" vertical="center"/>
    </xf>
    <xf numFmtId="0" fontId="10" fillId="0" borderId="6" xfId="0" applyFont="1" applyBorder="1" applyAlignment="1">
      <alignment vertical="center"/>
    </xf>
    <xf numFmtId="168" fontId="4" fillId="0" borderId="9" xfId="0" applyNumberFormat="1" applyFont="1" applyBorder="1" applyAlignment="1">
      <alignment horizontal="right" vertical="center"/>
    </xf>
    <xf numFmtId="167" fontId="12" fillId="0" borderId="0" xfId="0" applyNumberFormat="1" applyFont="1" applyAlignment="1">
      <alignment horizontal="left" vertical="center"/>
    </xf>
    <xf numFmtId="0" fontId="10" fillId="0" borderId="2" xfId="0" applyFont="1" applyBorder="1" applyAlignment="1">
      <alignment vertical="center"/>
    </xf>
    <xf numFmtId="0" fontId="11" fillId="0" borderId="2" xfId="0" applyFont="1" applyBorder="1" applyAlignment="1">
      <alignment horizontal="right" vertical="center"/>
    </xf>
    <xf numFmtId="0" fontId="11" fillId="0" borderId="2" xfId="0" applyFont="1" applyBorder="1" applyAlignment="1">
      <alignment vertical="center"/>
    </xf>
    <xf numFmtId="167" fontId="11" fillId="0" borderId="2" xfId="0" applyNumberFormat="1" applyFont="1" applyBorder="1" applyAlignment="1">
      <alignment vertical="center"/>
    </xf>
    <xf numFmtId="10" fontId="11" fillId="0" borderId="2" xfId="0" applyNumberFormat="1" applyFont="1" applyBorder="1" applyAlignment="1">
      <alignment vertical="center"/>
    </xf>
    <xf numFmtId="0" fontId="12" fillId="0" borderId="2" xfId="0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vertical="center"/>
    </xf>
    <xf numFmtId="167" fontId="11" fillId="0" borderId="0" xfId="0" applyNumberFormat="1" applyFont="1" applyAlignment="1">
      <alignment vertical="center"/>
    </xf>
    <xf numFmtId="10" fontId="11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0" fontId="9" fillId="4" borderId="2" xfId="0" applyFont="1" applyFill="1" applyBorder="1" applyAlignment="1">
      <alignment horizontal="right" vertical="center"/>
    </xf>
    <xf numFmtId="167" fontId="7" fillId="0" borderId="2" xfId="0" applyNumberFormat="1" applyFont="1" applyBorder="1" applyAlignment="1">
      <alignment vertical="center"/>
    </xf>
    <xf numFmtId="10" fontId="7" fillId="0" borderId="2" xfId="0" applyNumberFormat="1" applyFont="1" applyBorder="1" applyAlignment="1">
      <alignment vertical="center"/>
    </xf>
    <xf numFmtId="0" fontId="4" fillId="2" borderId="11" xfId="0" applyFont="1" applyFill="1" applyBorder="1" applyAlignment="1">
      <alignment vertical="center"/>
    </xf>
    <xf numFmtId="167" fontId="4" fillId="2" borderId="10" xfId="0" applyNumberFormat="1" applyFont="1" applyFill="1" applyBorder="1" applyAlignment="1">
      <alignment vertical="center"/>
    </xf>
    <xf numFmtId="10" fontId="4" fillId="2" borderId="12" xfId="0" applyNumberFormat="1" applyFont="1" applyFill="1" applyBorder="1" applyAlignment="1">
      <alignment vertical="center"/>
    </xf>
    <xf numFmtId="0" fontId="12" fillId="2" borderId="10" xfId="0" applyFont="1" applyFill="1" applyBorder="1" applyAlignment="1">
      <alignment horizontal="left" vertical="center"/>
    </xf>
    <xf numFmtId="0" fontId="15" fillId="4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1" xfId="0" applyFont="1" applyBorder="1" applyAlignment="1">
      <alignment vertical="center"/>
    </xf>
    <xf numFmtId="171" fontId="4" fillId="0" borderId="0" xfId="2" applyNumberFormat="1" applyFont="1" applyAlignment="1">
      <alignment vertical="center"/>
    </xf>
    <xf numFmtId="0" fontId="16" fillId="0" borderId="0" xfId="0" applyFont="1"/>
    <xf numFmtId="10" fontId="7" fillId="0" borderId="0" xfId="2" applyNumberFormat="1" applyFont="1" applyBorder="1" applyAlignment="1">
      <alignment vertical="center"/>
    </xf>
    <xf numFmtId="0" fontId="17" fillId="0" borderId="0" xfId="0" applyFont="1" applyAlignment="1">
      <alignment vertical="center"/>
    </xf>
    <xf numFmtId="0" fontId="22" fillId="0" borderId="0" xfId="4" applyFont="1" applyAlignment="1">
      <alignment horizontal="left" vertical="center" indent="6"/>
    </xf>
    <xf numFmtId="0" fontId="23" fillId="0" borderId="0" xfId="4" applyFont="1" applyAlignment="1">
      <alignment horizontal="left" vertical="center" indent="2"/>
    </xf>
    <xf numFmtId="0" fontId="21" fillId="0" borderId="0" xfId="4" applyFont="1" applyAlignment="1">
      <alignment vertical="center"/>
    </xf>
    <xf numFmtId="0" fontId="3" fillId="0" borderId="0" xfId="4" applyAlignment="1">
      <alignment vertical="center"/>
    </xf>
    <xf numFmtId="0" fontId="21" fillId="0" borderId="0" xfId="4" applyFont="1" applyAlignment="1">
      <alignment horizontal="left" vertical="center" indent="4"/>
    </xf>
    <xf numFmtId="0" fontId="24" fillId="0" borderId="0" xfId="4" applyFont="1" applyAlignment="1">
      <alignment vertical="center"/>
    </xf>
    <xf numFmtId="0" fontId="25" fillId="0" borderId="0" xfId="4" applyFont="1" applyAlignment="1">
      <alignment horizontal="left" vertical="center" indent="6"/>
    </xf>
    <xf numFmtId="0" fontId="25" fillId="0" borderId="0" xfId="4" applyFont="1" applyAlignment="1">
      <alignment vertical="center"/>
    </xf>
    <xf numFmtId="14" fontId="25" fillId="0" borderId="0" xfId="4" applyNumberFormat="1" applyFont="1" applyAlignment="1">
      <alignment horizontal="center" vertical="center"/>
    </xf>
    <xf numFmtId="0" fontId="25" fillId="0" borderId="0" xfId="4" applyFont="1" applyAlignment="1">
      <alignment horizontal="justify" vertical="center" wrapText="1"/>
    </xf>
    <xf numFmtId="0" fontId="26" fillId="0" borderId="0" xfId="4" applyFont="1" applyAlignment="1">
      <alignment horizontal="center" vertical="center"/>
    </xf>
    <xf numFmtId="0" fontId="25" fillId="0" borderId="0" xfId="4" applyFont="1" applyAlignment="1">
      <alignment horizontal="left" vertical="center" indent="4"/>
    </xf>
    <xf numFmtId="0" fontId="25" fillId="0" borderId="0" xfId="4" applyFont="1" applyAlignment="1">
      <alignment vertical="center" wrapText="1"/>
    </xf>
    <xf numFmtId="0" fontId="20" fillId="0" borderId="0" xfId="3" applyAlignment="1">
      <alignment vertical="center" wrapText="1"/>
    </xf>
    <xf numFmtId="0" fontId="27" fillId="0" borderId="0" xfId="4" applyFont="1" applyAlignment="1">
      <alignment vertical="center"/>
    </xf>
    <xf numFmtId="0" fontId="25" fillId="0" borderId="0" xfId="4" applyFont="1" applyAlignment="1">
      <alignment horizontal="left" vertical="center"/>
    </xf>
    <xf numFmtId="0" fontId="28" fillId="0" borderId="0" xfId="4" applyFont="1"/>
    <xf numFmtId="0" fontId="25" fillId="0" borderId="0" xfId="4" applyFont="1"/>
    <xf numFmtId="0" fontId="3" fillId="0" borderId="0" xfId="4"/>
    <xf numFmtId="0" fontId="3" fillId="0" borderId="12" xfId="4" applyBorder="1"/>
    <xf numFmtId="0" fontId="27" fillId="0" borderId="13" xfId="4" applyFont="1" applyBorder="1" applyAlignment="1">
      <alignment horizontal="center" vertical="center"/>
    </xf>
    <xf numFmtId="0" fontId="29" fillId="0" borderId="13" xfId="4" applyFont="1" applyBorder="1" applyAlignment="1">
      <alignment horizontal="center" vertical="center"/>
    </xf>
    <xf numFmtId="0" fontId="30" fillId="6" borderId="0" xfId="4" applyFont="1" applyFill="1" applyAlignment="1">
      <alignment horizontal="left" vertical="center" indent="1"/>
    </xf>
    <xf numFmtId="166" fontId="30" fillId="6" borderId="0" xfId="5" applyFont="1" applyFill="1" applyBorder="1" applyAlignment="1">
      <alignment vertical="center"/>
    </xf>
    <xf numFmtId="165" fontId="30" fillId="6" borderId="0" xfId="6" applyFont="1" applyFill="1" applyBorder="1" applyAlignment="1">
      <alignment vertical="center"/>
    </xf>
    <xf numFmtId="0" fontId="30" fillId="0" borderId="0" xfId="4" applyFont="1" applyAlignment="1">
      <alignment horizontal="left" vertical="center" indent="1"/>
    </xf>
    <xf numFmtId="0" fontId="30" fillId="0" borderId="0" xfId="4" applyFont="1" applyAlignment="1">
      <alignment horizontal="justify" vertical="center"/>
    </xf>
    <xf numFmtId="10" fontId="30" fillId="0" borderId="0" xfId="7" applyNumberFormat="1" applyFont="1" applyFill="1" applyBorder="1" applyAlignment="1">
      <alignment horizontal="right" vertical="center"/>
    </xf>
    <xf numFmtId="0" fontId="31" fillId="7" borderId="0" xfId="4" applyFont="1" applyFill="1"/>
    <xf numFmtId="165" fontId="3" fillId="7" borderId="0" xfId="4" applyNumberFormat="1" applyFill="1"/>
    <xf numFmtId="9" fontId="0" fillId="7" borderId="0" xfId="7" applyFont="1" applyFill="1"/>
    <xf numFmtId="0" fontId="27" fillId="0" borderId="13" xfId="4" applyFont="1" applyBorder="1" applyAlignment="1">
      <alignment horizontal="right"/>
    </xf>
    <xf numFmtId="165" fontId="27" fillId="0" borderId="13" xfId="6" applyFont="1" applyBorder="1" applyAlignment="1">
      <alignment horizontal="right"/>
    </xf>
    <xf numFmtId="9" fontId="27" fillId="0" borderId="13" xfId="7" applyFont="1" applyBorder="1"/>
    <xf numFmtId="0" fontId="28" fillId="0" borderId="0" xfId="4" applyFont="1" applyAlignment="1">
      <alignment horizontal="right"/>
    </xf>
    <xf numFmtId="165" fontId="27" fillId="0" borderId="0" xfId="6" applyFont="1" applyAlignment="1">
      <alignment horizontal="right"/>
    </xf>
    <xf numFmtId="0" fontId="34" fillId="0" borderId="0" xfId="4" applyFont="1" applyAlignment="1">
      <alignment horizontal="left" vertical="center" indent="2"/>
    </xf>
    <xf numFmtId="0" fontId="19" fillId="0" borderId="0" xfId="4" applyFont="1" applyAlignment="1">
      <alignment vertical="center"/>
    </xf>
    <xf numFmtId="0" fontId="16" fillId="0" borderId="0" xfId="4" applyFont="1" applyAlignment="1">
      <alignment horizontal="left" vertical="center" indent="2"/>
    </xf>
    <xf numFmtId="0" fontId="16" fillId="0" borderId="0" xfId="4" applyFont="1" applyAlignment="1">
      <alignment vertical="center"/>
    </xf>
    <xf numFmtId="166" fontId="35" fillId="0" borderId="0" xfId="5" applyFont="1" applyAlignment="1">
      <alignment vertical="center"/>
    </xf>
    <xf numFmtId="0" fontId="16" fillId="0" borderId="0" xfId="4" applyFont="1" applyAlignment="1">
      <alignment horizontal="justify" vertical="center" wrapText="1"/>
    </xf>
    <xf numFmtId="0" fontId="16" fillId="0" borderId="0" xfId="4" applyFont="1" applyAlignment="1">
      <alignment vertical="center" wrapText="1"/>
    </xf>
    <xf numFmtId="0" fontId="38" fillId="0" borderId="0" xfId="4" applyFont="1" applyAlignment="1">
      <alignment vertical="center"/>
    </xf>
    <xf numFmtId="0" fontId="25" fillId="5" borderId="0" xfId="4" applyFont="1" applyFill="1" applyAlignment="1">
      <alignment vertical="center" wrapText="1"/>
    </xf>
    <xf numFmtId="0" fontId="35" fillId="0" borderId="0" xfId="4" applyFont="1" applyAlignment="1">
      <alignment vertical="center"/>
    </xf>
    <xf numFmtId="0" fontId="35" fillId="0" borderId="13" xfId="4" applyFont="1" applyBorder="1" applyAlignment="1">
      <alignment horizontal="center" vertical="center"/>
    </xf>
    <xf numFmtId="0" fontId="35" fillId="0" borderId="13" xfId="4" applyFont="1" applyBorder="1" applyAlignment="1">
      <alignment horizontal="center" vertical="center" wrapText="1"/>
    </xf>
    <xf numFmtId="0" fontId="19" fillId="0" borderId="0" xfId="4" applyFont="1" applyAlignment="1">
      <alignment horizontal="center" vertical="center"/>
    </xf>
    <xf numFmtId="0" fontId="42" fillId="6" borderId="0" xfId="4" applyFont="1" applyFill="1" applyAlignment="1">
      <alignment horizontal="left" vertical="center" indent="1"/>
    </xf>
    <xf numFmtId="0" fontId="42" fillId="6" borderId="0" xfId="4" applyFont="1" applyFill="1" applyAlignment="1">
      <alignment vertical="center"/>
    </xf>
    <xf numFmtId="0" fontId="42" fillId="6" borderId="0" xfId="4" applyFont="1" applyFill="1" applyAlignment="1">
      <alignment horizontal="center" vertical="center"/>
    </xf>
    <xf numFmtId="166" fontId="42" fillId="6" borderId="0" xfId="5" applyFont="1" applyFill="1" applyBorder="1" applyAlignment="1">
      <alignment vertical="center"/>
    </xf>
    <xf numFmtId="165" fontId="42" fillId="6" borderId="0" xfId="6" applyFont="1" applyFill="1" applyBorder="1" applyAlignment="1">
      <alignment vertical="center"/>
    </xf>
    <xf numFmtId="0" fontId="42" fillId="9" borderId="0" xfId="4" applyFont="1" applyFill="1" applyAlignment="1">
      <alignment horizontal="left" vertical="center" indent="1"/>
    </xf>
    <xf numFmtId="0" fontId="42" fillId="9" borderId="0" xfId="4" applyFont="1" applyFill="1" applyAlignment="1">
      <alignment vertical="center"/>
    </xf>
    <xf numFmtId="0" fontId="42" fillId="9" borderId="0" xfId="4" applyFont="1" applyFill="1" applyAlignment="1">
      <alignment horizontal="center" vertical="center"/>
    </xf>
    <xf numFmtId="166" fontId="42" fillId="9" borderId="0" xfId="5" applyFont="1" applyFill="1" applyBorder="1" applyAlignment="1">
      <alignment vertical="center"/>
    </xf>
    <xf numFmtId="165" fontId="42" fillId="9" borderId="0" xfId="6" applyFont="1" applyFill="1" applyBorder="1" applyAlignment="1">
      <alignment vertical="center"/>
    </xf>
    <xf numFmtId="0" fontId="42" fillId="10" borderId="0" xfId="4" applyFont="1" applyFill="1" applyAlignment="1">
      <alignment horizontal="left" vertical="center" indent="1"/>
    </xf>
    <xf numFmtId="0" fontId="42" fillId="10" borderId="0" xfId="4" applyFont="1" applyFill="1" applyAlignment="1">
      <alignment vertical="center"/>
    </xf>
    <xf numFmtId="0" fontId="42" fillId="10" borderId="0" xfId="4" applyFont="1" applyFill="1" applyAlignment="1">
      <alignment horizontal="center" vertical="center"/>
    </xf>
    <xf numFmtId="166" fontId="42" fillId="10" borderId="0" xfId="5" applyFont="1" applyFill="1" applyBorder="1" applyAlignment="1">
      <alignment vertical="center"/>
    </xf>
    <xf numFmtId="165" fontId="42" fillId="10" borderId="0" xfId="6" applyFont="1" applyFill="1" applyBorder="1" applyAlignment="1">
      <alignment vertical="center"/>
    </xf>
    <xf numFmtId="0" fontId="39" fillId="0" borderId="0" xfId="4" applyFont="1" applyAlignment="1">
      <alignment horizontal="left" vertical="center" indent="1"/>
    </xf>
    <xf numFmtId="0" fontId="43" fillId="0" borderId="0" xfId="4" applyFont="1" applyAlignment="1">
      <alignment horizontal="center" vertical="center"/>
    </xf>
    <xf numFmtId="0" fontId="39" fillId="0" borderId="0" xfId="4" applyFont="1" applyAlignment="1">
      <alignment horizontal="center" vertical="center"/>
    </xf>
    <xf numFmtId="166" fontId="39" fillId="0" borderId="0" xfId="5" applyFont="1" applyFill="1" applyBorder="1" applyAlignment="1">
      <alignment vertical="center"/>
    </xf>
    <xf numFmtId="165" fontId="36" fillId="0" borderId="0" xfId="4" applyNumberFormat="1" applyFont="1" applyAlignment="1">
      <alignment horizontal="center" vertical="center"/>
    </xf>
    <xf numFmtId="165" fontId="36" fillId="0" borderId="0" xfId="6" applyFont="1" applyAlignment="1">
      <alignment horizontal="center" vertical="center"/>
    </xf>
    <xf numFmtId="10" fontId="36" fillId="0" borderId="0" xfId="7" applyNumberFormat="1" applyFont="1" applyAlignment="1">
      <alignment horizontal="center" vertical="center"/>
    </xf>
    <xf numFmtId="165" fontId="36" fillId="11" borderId="14" xfId="6" applyFont="1" applyFill="1" applyBorder="1" applyAlignment="1">
      <alignment horizontal="center" vertical="center"/>
    </xf>
    <xf numFmtId="2" fontId="39" fillId="0" borderId="0" xfId="4" applyNumberFormat="1" applyFont="1" applyAlignment="1">
      <alignment horizontal="left" vertical="center" indent="1"/>
    </xf>
    <xf numFmtId="165" fontId="36" fillId="11" borderId="0" xfId="6" applyFont="1" applyFill="1" applyBorder="1" applyAlignment="1">
      <alignment horizontal="center" vertical="center"/>
    </xf>
    <xf numFmtId="0" fontId="35" fillId="0" borderId="0" xfId="4" applyFont="1" applyAlignment="1">
      <alignment horizontal="left" vertical="center" indent="1"/>
    </xf>
    <xf numFmtId="0" fontId="40" fillId="0" borderId="0" xfId="4" applyFont="1" applyAlignment="1">
      <alignment horizontal="right" vertical="center"/>
    </xf>
    <xf numFmtId="0" fontId="40" fillId="0" borderId="0" xfId="4" applyFont="1" applyAlignment="1">
      <alignment horizontal="justify" vertical="center" wrapText="1"/>
    </xf>
    <xf numFmtId="0" fontId="40" fillId="0" borderId="0" xfId="4" applyFont="1" applyAlignment="1">
      <alignment horizontal="center" vertical="center"/>
    </xf>
    <xf numFmtId="166" fontId="40" fillId="0" borderId="0" xfId="5" applyFont="1" applyFill="1" applyAlignment="1">
      <alignment vertical="center"/>
    </xf>
    <xf numFmtId="165" fontId="40" fillId="0" borderId="13" xfId="6" applyFont="1" applyFill="1" applyBorder="1" applyAlignment="1">
      <alignment vertical="center"/>
    </xf>
    <xf numFmtId="10" fontId="40" fillId="0" borderId="13" xfId="7" applyNumberFormat="1" applyFont="1" applyFill="1" applyBorder="1" applyAlignment="1">
      <alignment vertical="center"/>
    </xf>
    <xf numFmtId="165" fontId="3" fillId="0" borderId="0" xfId="4" applyNumberFormat="1"/>
    <xf numFmtId="165" fontId="40" fillId="0" borderId="0" xfId="6" applyFont="1" applyFill="1" applyBorder="1" applyAlignment="1">
      <alignment vertical="center"/>
    </xf>
    <xf numFmtId="10" fontId="40" fillId="0" borderId="0" xfId="7" applyNumberFormat="1" applyFont="1" applyFill="1" applyBorder="1" applyAlignment="1">
      <alignment vertical="center"/>
    </xf>
    <xf numFmtId="0" fontId="25" fillId="0" borderId="0" xfId="4" applyFont="1" applyAlignment="1">
      <alignment wrapText="1"/>
    </xf>
    <xf numFmtId="0" fontId="32" fillId="0" borderId="0" xfId="4" applyFont="1" applyAlignment="1">
      <alignment horizontal="right" vertical="center"/>
    </xf>
    <xf numFmtId="0" fontId="25" fillId="0" borderId="0" xfId="4" applyFont="1" applyAlignment="1">
      <alignment horizontal="center"/>
    </xf>
    <xf numFmtId="165" fontId="25" fillId="0" borderId="0" xfId="4" applyNumberFormat="1" applyFont="1"/>
    <xf numFmtId="0" fontId="16" fillId="0" borderId="0" xfId="4" applyFont="1" applyAlignment="1">
      <alignment horizontal="right" vertical="center"/>
    </xf>
    <xf numFmtId="0" fontId="16" fillId="0" borderId="0" xfId="4" applyFont="1" applyAlignment="1">
      <alignment horizontal="justify" wrapText="1"/>
    </xf>
    <xf numFmtId="0" fontId="16" fillId="0" borderId="0" xfId="4" applyFont="1"/>
    <xf numFmtId="0" fontId="38" fillId="0" borderId="0" xfId="4" applyFont="1" applyAlignment="1">
      <alignment horizontal="center" vertical="center"/>
    </xf>
    <xf numFmtId="0" fontId="35" fillId="0" borderId="0" xfId="4" applyFont="1" applyAlignment="1">
      <alignment horizontal="right"/>
    </xf>
    <xf numFmtId="0" fontId="35" fillId="0" borderId="0" xfId="4" applyFont="1"/>
    <xf numFmtId="0" fontId="38" fillId="0" borderId="0" xfId="4" applyFont="1"/>
    <xf numFmtId="0" fontId="25" fillId="0" borderId="0" xfId="4" applyFont="1" applyAlignment="1">
      <alignment horizontal="right"/>
    </xf>
    <xf numFmtId="10" fontId="35" fillId="11" borderId="0" xfId="4" applyNumberFormat="1" applyFont="1" applyFill="1" applyAlignment="1">
      <alignment horizontal="center" vertical="center"/>
    </xf>
    <xf numFmtId="10" fontId="35" fillId="0" borderId="0" xfId="4" applyNumberFormat="1" applyFont="1" applyAlignment="1">
      <alignment horizontal="center" vertical="center"/>
    </xf>
    <xf numFmtId="0" fontId="38" fillId="0" borderId="0" xfId="4" applyFont="1" applyAlignment="1">
      <alignment horizontal="right"/>
    </xf>
    <xf numFmtId="10" fontId="35" fillId="11" borderId="0" xfId="4" applyNumberFormat="1" applyFont="1" applyFill="1" applyAlignment="1">
      <alignment horizontal="center" vertical="center" wrapText="1"/>
    </xf>
    <xf numFmtId="0" fontId="16" fillId="0" borderId="0" xfId="4" applyFont="1" applyAlignment="1">
      <alignment horizontal="center" vertical="center" wrapText="1"/>
    </xf>
    <xf numFmtId="0" fontId="17" fillId="0" borderId="0" xfId="4" applyFont="1" applyAlignment="1">
      <alignment horizontal="center" vertical="center"/>
    </xf>
    <xf numFmtId="0" fontId="3" fillId="12" borderId="0" xfId="4" applyFill="1"/>
    <xf numFmtId="0" fontId="33" fillId="13" borderId="0" xfId="4" applyFont="1" applyFill="1" applyAlignment="1">
      <alignment horizontal="center" vertical="center" wrapText="1"/>
    </xf>
    <xf numFmtId="0" fontId="3" fillId="0" borderId="0" xfId="4" applyAlignment="1">
      <alignment horizontal="center" vertical="center"/>
    </xf>
    <xf numFmtId="0" fontId="46" fillId="0" borderId="0" xfId="4" applyFont="1" applyAlignment="1">
      <alignment horizontal="left" vertical="center"/>
    </xf>
    <xf numFmtId="0" fontId="51" fillId="0" borderId="0" xfId="4" applyFont="1"/>
    <xf numFmtId="0" fontId="36" fillId="0" borderId="0" xfId="4" applyFont="1" applyAlignment="1">
      <alignment horizontal="left" vertical="center"/>
    </xf>
    <xf numFmtId="0" fontId="36" fillId="0" borderId="0" xfId="4" applyFont="1"/>
    <xf numFmtId="0" fontId="47" fillId="0" borderId="16" xfId="4" applyFont="1" applyBorder="1" applyAlignment="1">
      <alignment horizontal="left" vertical="center"/>
    </xf>
    <xf numFmtId="0" fontId="46" fillId="0" borderId="16" xfId="4" applyFont="1" applyBorder="1" applyAlignment="1">
      <alignment horizontal="left" vertical="center"/>
    </xf>
    <xf numFmtId="0" fontId="52" fillId="0" borderId="0" xfId="4" applyFont="1" applyAlignment="1">
      <alignment horizontal="left" vertical="center"/>
    </xf>
    <xf numFmtId="164" fontId="46" fillId="0" borderId="0" xfId="4" applyNumberFormat="1" applyFont="1" applyAlignment="1">
      <alignment horizontal="left" vertical="center"/>
    </xf>
    <xf numFmtId="0" fontId="55" fillId="0" borderId="0" xfId="4" applyFont="1" applyAlignment="1">
      <alignment horizontal="left" vertical="center"/>
    </xf>
    <xf numFmtId="0" fontId="54" fillId="0" borderId="0" xfId="4" applyFont="1" applyAlignment="1">
      <alignment horizontal="left" vertical="center"/>
    </xf>
    <xf numFmtId="0" fontId="47" fillId="0" borderId="0" xfId="4" applyFont="1" applyAlignment="1">
      <alignment horizontal="left" vertical="center"/>
    </xf>
    <xf numFmtId="0" fontId="56" fillId="0" borderId="0" xfId="4" applyFont="1" applyAlignment="1">
      <alignment horizontal="left" vertical="center"/>
    </xf>
    <xf numFmtId="0" fontId="57" fillId="0" borderId="0" xfId="4" applyFont="1"/>
    <xf numFmtId="0" fontId="46" fillId="0" borderId="0" xfId="4" applyFont="1"/>
    <xf numFmtId="0" fontId="60" fillId="0" borderId="0" xfId="4" applyFont="1" applyAlignment="1">
      <alignment horizontal="left" vertical="center"/>
    </xf>
    <xf numFmtId="0" fontId="65" fillId="0" borderId="0" xfId="4" applyFont="1" applyAlignment="1">
      <alignment vertical="center"/>
    </xf>
    <xf numFmtId="0" fontId="46" fillId="0" borderId="0" xfId="4" applyFont="1" applyAlignment="1">
      <alignment vertical="center"/>
    </xf>
    <xf numFmtId="0" fontId="16" fillId="0" borderId="1" xfId="4" applyFont="1" applyBorder="1" applyAlignment="1">
      <alignment vertical="center"/>
    </xf>
    <xf numFmtId="0" fontId="17" fillId="0" borderId="0" xfId="4" applyFont="1" applyAlignment="1">
      <alignment vertical="center"/>
    </xf>
    <xf numFmtId="0" fontId="17" fillId="0" borderId="0" xfId="4" applyFont="1" applyAlignment="1">
      <alignment horizontal="right" vertical="center"/>
    </xf>
    <xf numFmtId="0" fontId="16" fillId="2" borderId="0" xfId="4" applyFont="1" applyFill="1" applyAlignment="1">
      <alignment vertical="center"/>
    </xf>
    <xf numFmtId="167" fontId="16" fillId="0" borderId="1" xfId="4" applyNumberFormat="1" applyFont="1" applyBorder="1" applyAlignment="1">
      <alignment vertical="center"/>
    </xf>
    <xf numFmtId="0" fontId="16" fillId="0" borderId="0" xfId="4" applyFont="1" applyAlignment="1">
      <alignment horizontal="left" vertical="center"/>
    </xf>
    <xf numFmtId="0" fontId="17" fillId="3" borderId="0" xfId="4" applyFont="1" applyFill="1" applyAlignment="1">
      <alignment horizontal="center" vertical="center"/>
    </xf>
    <xf numFmtId="0" fontId="15" fillId="4" borderId="2" xfId="4" applyFont="1" applyFill="1" applyBorder="1" applyAlignment="1">
      <alignment horizontal="center" vertical="center"/>
    </xf>
    <xf numFmtId="0" fontId="67" fillId="0" borderId="3" xfId="4" applyFont="1" applyBorder="1" applyAlignment="1">
      <alignment vertical="center"/>
    </xf>
    <xf numFmtId="0" fontId="68" fillId="0" borderId="3" xfId="4" applyFont="1" applyBorder="1" applyAlignment="1">
      <alignment horizontal="right" vertical="center"/>
    </xf>
    <xf numFmtId="0" fontId="68" fillId="0" borderId="4" xfId="4" applyFont="1" applyBorder="1" applyAlignment="1">
      <alignment vertical="center"/>
    </xf>
    <xf numFmtId="167" fontId="68" fillId="0" borderId="3" xfId="4" applyNumberFormat="1" applyFont="1" applyBorder="1" applyAlignment="1">
      <alignment vertical="center"/>
    </xf>
    <xf numFmtId="10" fontId="68" fillId="0" borderId="4" xfId="4" applyNumberFormat="1" applyFont="1" applyBorder="1" applyAlignment="1">
      <alignment vertical="center"/>
    </xf>
    <xf numFmtId="0" fontId="69" fillId="0" borderId="3" xfId="4" applyFont="1" applyBorder="1" applyAlignment="1">
      <alignment horizontal="left" vertical="center"/>
    </xf>
    <xf numFmtId="0" fontId="67" fillId="2" borderId="5" xfId="4" applyFont="1" applyFill="1" applyBorder="1" applyAlignment="1">
      <alignment vertical="center"/>
    </xf>
    <xf numFmtId="168" fontId="16" fillId="2" borderId="5" xfId="4" applyNumberFormat="1" applyFont="1" applyFill="1" applyBorder="1" applyAlignment="1">
      <alignment horizontal="right" vertical="center"/>
    </xf>
    <xf numFmtId="167" fontId="16" fillId="2" borderId="5" xfId="4" applyNumberFormat="1" applyFont="1" applyFill="1" applyBorder="1" applyAlignment="1">
      <alignment vertical="center"/>
    </xf>
    <xf numFmtId="10" fontId="16" fillId="2" borderId="0" xfId="4" applyNumberFormat="1" applyFont="1" applyFill="1" applyAlignment="1">
      <alignment vertical="center"/>
    </xf>
    <xf numFmtId="0" fontId="69" fillId="2" borderId="5" xfId="4" applyFont="1" applyFill="1" applyBorder="1" applyAlignment="1">
      <alignment horizontal="left" vertical="center"/>
    </xf>
    <xf numFmtId="0" fontId="67" fillId="0" borderId="5" xfId="4" applyFont="1" applyBorder="1" applyAlignment="1">
      <alignment vertical="center"/>
    </xf>
    <xf numFmtId="168" fontId="16" fillId="0" borderId="5" xfId="4" applyNumberFormat="1" applyFont="1" applyBorder="1" applyAlignment="1">
      <alignment horizontal="right" vertical="center"/>
    </xf>
    <xf numFmtId="167" fontId="16" fillId="0" borderId="5" xfId="4" applyNumberFormat="1" applyFont="1" applyBorder="1" applyAlignment="1">
      <alignment vertical="center"/>
    </xf>
    <xf numFmtId="10" fontId="16" fillId="0" borderId="0" xfId="4" applyNumberFormat="1" applyFont="1" applyAlignment="1">
      <alignment vertical="center"/>
    </xf>
    <xf numFmtId="0" fontId="69" fillId="0" borderId="5" xfId="4" applyFont="1" applyBorder="1" applyAlignment="1">
      <alignment horizontal="left" vertical="center"/>
    </xf>
    <xf numFmtId="0" fontId="67" fillId="2" borderId="6" xfId="4" applyFont="1" applyFill="1" applyBorder="1" applyAlignment="1">
      <alignment vertical="center"/>
    </xf>
    <xf numFmtId="168" fontId="16" fillId="2" borderId="6" xfId="4" applyNumberFormat="1" applyFont="1" applyFill="1" applyBorder="1" applyAlignment="1">
      <alignment horizontal="right" vertical="center"/>
    </xf>
    <xf numFmtId="167" fontId="16" fillId="0" borderId="6" xfId="4" applyNumberFormat="1" applyFont="1" applyBorder="1" applyAlignment="1">
      <alignment vertical="center"/>
    </xf>
    <xf numFmtId="10" fontId="16" fillId="0" borderId="1" xfId="4" applyNumberFormat="1" applyFont="1" applyBorder="1" applyAlignment="1">
      <alignment vertical="center"/>
    </xf>
    <xf numFmtId="0" fontId="69" fillId="0" borderId="6" xfId="4" applyFont="1" applyBorder="1" applyAlignment="1">
      <alignment horizontal="left" vertical="center"/>
    </xf>
    <xf numFmtId="0" fontId="67" fillId="0" borderId="0" xfId="4" applyFont="1" applyAlignment="1">
      <alignment vertical="center"/>
    </xf>
    <xf numFmtId="168" fontId="16" fillId="0" borderId="0" xfId="4" applyNumberFormat="1" applyFont="1" applyAlignment="1">
      <alignment horizontal="right" vertical="center"/>
    </xf>
    <xf numFmtId="167" fontId="16" fillId="0" borderId="0" xfId="4" applyNumberFormat="1" applyFont="1" applyAlignment="1">
      <alignment vertical="center"/>
    </xf>
    <xf numFmtId="0" fontId="69" fillId="0" borderId="0" xfId="4" applyFont="1" applyAlignment="1">
      <alignment horizontal="left" vertical="center"/>
    </xf>
    <xf numFmtId="0" fontId="68" fillId="0" borderId="7" xfId="4" applyFont="1" applyBorder="1" applyAlignment="1">
      <alignment horizontal="right" vertical="center"/>
    </xf>
    <xf numFmtId="168" fontId="16" fillId="2" borderId="8" xfId="4" applyNumberFormat="1" applyFont="1" applyFill="1" applyBorder="1" applyAlignment="1">
      <alignment horizontal="right" vertical="center"/>
    </xf>
    <xf numFmtId="168" fontId="16" fillId="0" borderId="8" xfId="4" applyNumberFormat="1" applyFont="1" applyBorder="1" applyAlignment="1">
      <alignment horizontal="right" vertical="center"/>
    </xf>
    <xf numFmtId="0" fontId="67" fillId="0" borderId="6" xfId="4" applyFont="1" applyBorder="1" applyAlignment="1">
      <alignment vertical="center"/>
    </xf>
    <xf numFmtId="168" fontId="16" fillId="0" borderId="9" xfId="4" applyNumberFormat="1" applyFont="1" applyBorder="1" applyAlignment="1">
      <alignment horizontal="right" vertical="center"/>
    </xf>
    <xf numFmtId="167" fontId="69" fillId="0" borderId="0" xfId="4" applyNumberFormat="1" applyFont="1" applyAlignment="1">
      <alignment horizontal="left" vertical="center"/>
    </xf>
    <xf numFmtId="0" fontId="67" fillId="0" borderId="2" xfId="4" applyFont="1" applyBorder="1" applyAlignment="1">
      <alignment vertical="center"/>
    </xf>
    <xf numFmtId="0" fontId="68" fillId="0" borderId="2" xfId="4" applyFont="1" applyBorder="1" applyAlignment="1">
      <alignment horizontal="right" vertical="center"/>
    </xf>
    <xf numFmtId="0" fontId="68" fillId="0" borderId="2" xfId="4" applyFont="1" applyBorder="1" applyAlignment="1">
      <alignment vertical="center"/>
    </xf>
    <xf numFmtId="167" fontId="68" fillId="0" borderId="2" xfId="4" applyNumberFormat="1" applyFont="1" applyBorder="1" applyAlignment="1">
      <alignment vertical="center"/>
    </xf>
    <xf numFmtId="10" fontId="68" fillId="0" borderId="2" xfId="4" applyNumberFormat="1" applyFont="1" applyBorder="1" applyAlignment="1">
      <alignment vertical="center"/>
    </xf>
    <xf numFmtId="0" fontId="69" fillId="0" borderId="2" xfId="4" applyFont="1" applyBorder="1" applyAlignment="1">
      <alignment horizontal="left" vertical="center"/>
    </xf>
    <xf numFmtId="0" fontId="68" fillId="0" borderId="0" xfId="4" applyFont="1" applyAlignment="1">
      <alignment horizontal="right" vertical="center"/>
    </xf>
    <xf numFmtId="0" fontId="68" fillId="0" borderId="0" xfId="4" applyFont="1" applyAlignment="1">
      <alignment vertical="center"/>
    </xf>
    <xf numFmtId="167" fontId="68" fillId="0" borderId="0" xfId="4" applyNumberFormat="1" applyFont="1" applyAlignment="1">
      <alignment vertical="center"/>
    </xf>
    <xf numFmtId="10" fontId="68" fillId="0" borderId="0" xfId="4" applyNumberFormat="1" applyFont="1" applyAlignment="1">
      <alignment vertical="center"/>
    </xf>
    <xf numFmtId="0" fontId="69" fillId="0" borderId="0" xfId="4" applyFont="1" applyAlignment="1">
      <alignment vertical="center"/>
    </xf>
    <xf numFmtId="0" fontId="15" fillId="4" borderId="2" xfId="4" applyFont="1" applyFill="1" applyBorder="1" applyAlignment="1">
      <alignment horizontal="right" vertical="center"/>
    </xf>
    <xf numFmtId="167" fontId="17" fillId="0" borderId="2" xfId="4" applyNumberFormat="1" applyFont="1" applyBorder="1" applyAlignment="1">
      <alignment vertical="center"/>
    </xf>
    <xf numFmtId="10" fontId="17" fillId="0" borderId="2" xfId="4" applyNumberFormat="1" applyFont="1" applyBorder="1" applyAlignment="1">
      <alignment vertical="center"/>
    </xf>
    <xf numFmtId="0" fontId="16" fillId="0" borderId="1" xfId="4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6" fillId="2" borderId="0" xfId="4" applyFont="1" applyFill="1" applyAlignment="1">
      <alignment horizontal="left" vertical="center"/>
    </xf>
    <xf numFmtId="0" fontId="2" fillId="0" borderId="0" xfId="4" applyFont="1"/>
    <xf numFmtId="0" fontId="4" fillId="2" borderId="0" xfId="4" applyFont="1" applyFill="1" applyAlignment="1">
      <alignment horizontal="left" vertical="center"/>
    </xf>
    <xf numFmtId="2" fontId="41" fillId="6" borderId="14" xfId="4" applyNumberFormat="1" applyFont="1" applyFill="1" applyBorder="1" applyAlignment="1">
      <alignment horizontal="center" vertical="center"/>
    </xf>
    <xf numFmtId="170" fontId="41" fillId="6" borderId="14" xfId="4" applyNumberFormat="1" applyFont="1" applyFill="1" applyBorder="1" applyAlignment="1">
      <alignment horizontal="center" vertical="center"/>
    </xf>
    <xf numFmtId="0" fontId="4" fillId="0" borderId="1" xfId="4" applyFont="1" applyBorder="1" applyAlignment="1">
      <alignment horizontal="center" vertical="center"/>
    </xf>
    <xf numFmtId="0" fontId="4" fillId="0" borderId="1" xfId="4" applyFont="1" applyBorder="1" applyAlignment="1">
      <alignment horizontal="left" vertical="center"/>
    </xf>
    <xf numFmtId="10" fontId="14" fillId="0" borderId="0" xfId="10" applyNumberFormat="1" applyFont="1" applyAlignment="1">
      <alignment horizontal="right" vertical="top"/>
    </xf>
    <xf numFmtId="0" fontId="4" fillId="0" borderId="0" xfId="2" applyNumberFormat="1" applyFont="1" applyAlignment="1">
      <alignment vertical="center"/>
    </xf>
    <xf numFmtId="0" fontId="25" fillId="0" borderId="0" xfId="4" applyFont="1" applyAlignment="1">
      <alignment horizontal="center" vertical="center"/>
    </xf>
    <xf numFmtId="0" fontId="0" fillId="0" borderId="0" xfId="0" applyAlignment="1">
      <alignment horizontal="left"/>
    </xf>
    <xf numFmtId="170" fontId="14" fillId="0" borderId="0" xfId="9" applyNumberFormat="1" applyFont="1" applyAlignment="1">
      <alignment horizontal="right" vertical="top"/>
    </xf>
    <xf numFmtId="169" fontId="14" fillId="0" borderId="0" xfId="9" applyNumberFormat="1" applyFont="1" applyAlignment="1">
      <alignment horizontal="right" vertical="top"/>
    </xf>
    <xf numFmtId="49" fontId="14" fillId="0" borderId="0" xfId="9" applyNumberFormat="1" applyFont="1" applyAlignment="1">
      <alignment vertical="top"/>
    </xf>
    <xf numFmtId="0" fontId="14" fillId="0" borderId="0" xfId="9" applyFont="1" applyAlignment="1">
      <alignment vertical="top"/>
    </xf>
    <xf numFmtId="14" fontId="14" fillId="0" borderId="0" xfId="9" applyNumberFormat="1" applyFont="1" applyAlignment="1">
      <alignment vertical="top"/>
    </xf>
    <xf numFmtId="0" fontId="4" fillId="2" borderId="0" xfId="0" applyFont="1" applyFill="1" applyAlignment="1">
      <alignment horizontal="left" vertical="center"/>
    </xf>
    <xf numFmtId="10" fontId="4" fillId="0" borderId="0" xfId="2" applyNumberFormat="1" applyFont="1" applyAlignment="1">
      <alignment vertical="center"/>
    </xf>
    <xf numFmtId="10" fontId="9" fillId="4" borderId="2" xfId="2" applyNumberFormat="1" applyFont="1" applyFill="1" applyBorder="1" applyAlignment="1">
      <alignment horizontal="center" vertical="center"/>
    </xf>
    <xf numFmtId="14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left" vertical="center"/>
    </xf>
    <xf numFmtId="14" fontId="4" fillId="0" borderId="0" xfId="0" applyNumberFormat="1" applyFont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2" fontId="4" fillId="0" borderId="0" xfId="1" applyNumberFormat="1" applyFont="1" applyAlignment="1">
      <alignment horizontal="right" vertical="center" wrapText="1"/>
    </xf>
    <xf numFmtId="2" fontId="4" fillId="0" borderId="1" xfId="1" applyNumberFormat="1" applyFont="1" applyBorder="1" applyAlignment="1">
      <alignment horizontal="right" vertical="center" wrapText="1"/>
    </xf>
    <xf numFmtId="2" fontId="0" fillId="0" borderId="0" xfId="1" applyNumberFormat="1" applyFont="1" applyAlignment="1">
      <alignment horizontal="right" wrapText="1"/>
    </xf>
    <xf numFmtId="170" fontId="15" fillId="4" borderId="0" xfId="0" applyNumberFormat="1" applyFont="1" applyFill="1" applyAlignment="1">
      <alignment vertical="center"/>
    </xf>
    <xf numFmtId="170" fontId="4" fillId="0" borderId="0" xfId="2" applyNumberFormat="1" applyFont="1" applyAlignment="1">
      <alignment vertical="center"/>
    </xf>
    <xf numFmtId="170" fontId="7" fillId="0" borderId="0" xfId="0" applyNumberFormat="1" applyFont="1" applyAlignment="1">
      <alignment horizontal="right" vertical="center"/>
    </xf>
    <xf numFmtId="170" fontId="7" fillId="3" borderId="0" xfId="0" applyNumberFormat="1" applyFont="1" applyFill="1" applyAlignment="1">
      <alignment horizontal="center" vertical="center"/>
    </xf>
    <xf numFmtId="10" fontId="0" fillId="0" borderId="0" xfId="0" applyNumberFormat="1"/>
    <xf numFmtId="10" fontId="1" fillId="0" borderId="12" xfId="0" applyNumberFormat="1" applyFont="1" applyBorder="1"/>
    <xf numFmtId="2" fontId="9" fillId="4" borderId="2" xfId="1" applyNumberFormat="1" applyFont="1" applyFill="1" applyBorder="1" applyAlignment="1">
      <alignment horizontal="left" vertical="center" wrapText="1"/>
    </xf>
    <xf numFmtId="44" fontId="4" fillId="0" borderId="0" xfId="1" applyNumberFormat="1" applyFont="1" applyAlignment="1">
      <alignment vertical="center"/>
    </xf>
    <xf numFmtId="44" fontId="4" fillId="0" borderId="1" xfId="1" applyNumberFormat="1" applyFont="1" applyBorder="1" applyAlignment="1">
      <alignment vertical="center"/>
    </xf>
    <xf numFmtId="44" fontId="0" fillId="0" borderId="0" xfId="1" applyNumberFormat="1" applyFont="1" applyAlignment="1">
      <alignment horizontal="right" wrapText="1"/>
    </xf>
    <xf numFmtId="44" fontId="4" fillId="0" borderId="0" xfId="1" applyNumberFormat="1" applyFont="1" applyAlignment="1">
      <alignment horizontal="right" vertical="center" wrapText="1"/>
    </xf>
    <xf numFmtId="44" fontId="9" fillId="4" borderId="0" xfId="0" applyNumberFormat="1" applyFont="1" applyFill="1" applyAlignment="1">
      <alignment vertical="center"/>
    </xf>
    <xf numFmtId="44" fontId="9" fillId="4" borderId="2" xfId="1" applyNumberFormat="1" applyFont="1" applyFill="1" applyBorder="1" applyAlignment="1">
      <alignment horizontal="center" vertical="center"/>
    </xf>
    <xf numFmtId="44" fontId="0" fillId="0" borderId="0" xfId="1" applyNumberFormat="1" applyFont="1"/>
    <xf numFmtId="44" fontId="4" fillId="0" borderId="0" xfId="2" applyNumberFormat="1" applyFont="1" applyAlignment="1">
      <alignment vertical="center"/>
    </xf>
    <xf numFmtId="44" fontId="4" fillId="0" borderId="1" xfId="2" applyNumberFormat="1" applyFont="1" applyBorder="1" applyAlignment="1">
      <alignment vertical="center"/>
    </xf>
    <xf numFmtId="44" fontId="15" fillId="4" borderId="0" xfId="0" applyNumberFormat="1" applyFont="1" applyFill="1" applyAlignment="1">
      <alignment vertical="center"/>
    </xf>
    <xf numFmtId="44" fontId="9" fillId="4" borderId="2" xfId="2" applyNumberFormat="1" applyFont="1" applyFill="1" applyBorder="1" applyAlignment="1">
      <alignment horizontal="center" vertical="center"/>
    </xf>
    <xf numFmtId="44" fontId="0" fillId="0" borderId="0" xfId="2" applyNumberFormat="1" applyFont="1"/>
    <xf numFmtId="0" fontId="72" fillId="0" borderId="0" xfId="9"/>
    <xf numFmtId="0" fontId="14" fillId="0" borderId="0" xfId="9" applyFont="1" applyAlignment="1">
      <alignment horizontal="justify" vertical="top" wrapText="1"/>
    </xf>
    <xf numFmtId="175" fontId="17" fillId="0" borderId="0" xfId="4" applyNumberFormat="1" applyFont="1" applyAlignment="1">
      <alignment horizontal="right" vertical="center"/>
    </xf>
    <xf numFmtId="0" fontId="38" fillId="0" borderId="0" xfId="4" applyFont="1" applyAlignment="1">
      <alignment horizontal="center"/>
    </xf>
    <xf numFmtId="0" fontId="74" fillId="0" borderId="0" xfId="0" applyFont="1" applyAlignment="1">
      <alignment horizontal="justify" vertical="justify" wrapText="1"/>
    </xf>
    <xf numFmtId="0" fontId="74" fillId="0" borderId="0" xfId="4" applyFont="1" applyAlignment="1">
      <alignment horizontal="justify" vertical="center" wrapText="1"/>
    </xf>
    <xf numFmtId="0" fontId="16" fillId="2" borderId="0" xfId="4" applyFont="1" applyFill="1" applyAlignment="1">
      <alignment horizontal="left" vertical="center"/>
    </xf>
    <xf numFmtId="0" fontId="66" fillId="0" borderId="0" xfId="4" applyFont="1"/>
    <xf numFmtId="0" fontId="25" fillId="0" borderId="0" xfId="4" applyFont="1" applyAlignment="1">
      <alignment horizontal="left" vertical="center" wrapText="1"/>
    </xf>
    <xf numFmtId="0" fontId="27" fillId="0" borderId="12" xfId="4" applyFont="1" applyBorder="1" applyAlignment="1">
      <alignment horizontal="center" vertical="center"/>
    </xf>
    <xf numFmtId="0" fontId="27" fillId="0" borderId="13" xfId="4" applyFont="1" applyBorder="1" applyAlignment="1">
      <alignment horizontal="center" vertical="center" wrapText="1"/>
    </xf>
    <xf numFmtId="0" fontId="30" fillId="6" borderId="0" xfId="4" applyFont="1" applyFill="1" applyAlignment="1">
      <alignment horizontal="left" vertical="center"/>
    </xf>
    <xf numFmtId="0" fontId="32" fillId="8" borderId="0" xfId="4" applyFont="1" applyFill="1" applyAlignment="1">
      <alignment horizontal="left" vertical="center" wrapText="1"/>
    </xf>
    <xf numFmtId="0" fontId="25" fillId="5" borderId="0" xfId="4" applyFont="1" applyFill="1" applyAlignment="1">
      <alignment horizontal="center" vertical="center"/>
    </xf>
    <xf numFmtId="0" fontId="21" fillId="0" borderId="0" xfId="4" applyFont="1" applyAlignment="1">
      <alignment horizontal="center" vertical="center"/>
    </xf>
    <xf numFmtId="0" fontId="25" fillId="0" borderId="0" xfId="4" applyFont="1" applyAlignment="1">
      <alignment horizontal="justify" vertical="center" wrapText="1"/>
    </xf>
    <xf numFmtId="49" fontId="25" fillId="5" borderId="0" xfId="4" applyNumberFormat="1" applyFont="1" applyFill="1" applyAlignment="1">
      <alignment horizontal="center" vertical="center"/>
    </xf>
    <xf numFmtId="0" fontId="16" fillId="0" borderId="0" xfId="4" applyFont="1" applyAlignment="1">
      <alignment horizontal="justify" vertical="center" wrapText="1"/>
    </xf>
    <xf numFmtId="0" fontId="35" fillId="0" borderId="0" xfId="4" applyFont="1" applyAlignment="1">
      <alignment horizontal="center" vertical="center"/>
    </xf>
    <xf numFmtId="0" fontId="16" fillId="5" borderId="0" xfId="4" applyFont="1" applyFill="1" applyAlignment="1">
      <alignment horizontal="left" vertical="center"/>
    </xf>
    <xf numFmtId="0" fontId="16" fillId="5" borderId="0" xfId="4" applyFont="1" applyFill="1" applyAlignment="1">
      <alignment horizontal="center" vertical="center" wrapText="1"/>
    </xf>
    <xf numFmtId="0" fontId="39" fillId="0" borderId="0" xfId="4" applyFont="1" applyAlignment="1">
      <alignment horizontal="justify" vertical="center" wrapText="1"/>
    </xf>
    <xf numFmtId="0" fontId="35" fillId="0" borderId="12" xfId="4" applyFont="1" applyBorder="1" applyAlignment="1">
      <alignment horizontal="center" vertical="center" wrapText="1"/>
    </xf>
    <xf numFmtId="0" fontId="16" fillId="0" borderId="0" xfId="4" applyFont="1" applyAlignment="1">
      <alignment horizontal="center"/>
    </xf>
    <xf numFmtId="0" fontId="16" fillId="5" borderId="0" xfId="4" applyFont="1" applyFill="1" applyAlignment="1">
      <alignment horizontal="justify" wrapText="1"/>
    </xf>
    <xf numFmtId="0" fontId="25" fillId="0" borderId="0" xfId="4" applyFont="1" applyAlignment="1">
      <alignment horizontal="center" vertical="center"/>
    </xf>
    <xf numFmtId="0" fontId="36" fillId="0" borderId="0" xfId="4" applyFont="1" applyAlignment="1">
      <alignment horizontal="center" vertical="center"/>
    </xf>
    <xf numFmtId="0" fontId="37" fillId="0" borderId="0" xfId="4" applyFont="1" applyAlignment="1">
      <alignment horizontal="center" vertical="center"/>
    </xf>
    <xf numFmtId="14" fontId="16" fillId="0" borderId="0" xfId="4" applyNumberFormat="1" applyFont="1" applyAlignment="1">
      <alignment horizontal="center" vertical="center"/>
    </xf>
    <xf numFmtId="0" fontId="60" fillId="5" borderId="21" xfId="4" applyFont="1" applyFill="1" applyBorder="1" applyAlignment="1">
      <alignment horizontal="left" vertical="center" indent="1"/>
    </xf>
    <xf numFmtId="0" fontId="60" fillId="5" borderId="22" xfId="4" applyFont="1" applyFill="1" applyBorder="1" applyAlignment="1">
      <alignment horizontal="left" vertical="center" indent="1"/>
    </xf>
    <xf numFmtId="0" fontId="60" fillId="5" borderId="23" xfId="4" applyFont="1" applyFill="1" applyBorder="1" applyAlignment="1">
      <alignment horizontal="left" vertical="center" indent="1"/>
    </xf>
    <xf numFmtId="14" fontId="60" fillId="0" borderId="24" xfId="4" applyNumberFormat="1" applyFont="1" applyBorder="1" applyAlignment="1">
      <alignment horizontal="center" vertical="center"/>
    </xf>
    <xf numFmtId="0" fontId="60" fillId="0" borderId="24" xfId="4" applyFont="1" applyBorder="1" applyAlignment="1">
      <alignment horizontal="center" vertical="center"/>
    </xf>
    <xf numFmtId="0" fontId="60" fillId="5" borderId="24" xfId="4" applyFont="1" applyFill="1" applyBorder="1" applyAlignment="1">
      <alignment horizontal="center" vertical="center"/>
    </xf>
    <xf numFmtId="0" fontId="60" fillId="5" borderId="25" xfId="4" applyFont="1" applyFill="1" applyBorder="1" applyAlignment="1">
      <alignment horizontal="left" vertical="center" indent="1"/>
    </xf>
    <xf numFmtId="0" fontId="60" fillId="5" borderId="16" xfId="4" applyFont="1" applyFill="1" applyBorder="1" applyAlignment="1">
      <alignment horizontal="left" vertical="center" indent="1"/>
    </xf>
    <xf numFmtId="0" fontId="60" fillId="5" borderId="26" xfId="4" applyFont="1" applyFill="1" applyBorder="1" applyAlignment="1">
      <alignment horizontal="left" vertical="center" indent="1"/>
    </xf>
    <xf numFmtId="0" fontId="60" fillId="5" borderId="28" xfId="4" applyFont="1" applyFill="1" applyBorder="1" applyAlignment="1">
      <alignment horizontal="left" vertical="center" indent="1"/>
    </xf>
    <xf numFmtId="0" fontId="60" fillId="5" borderId="0" xfId="4" applyFont="1" applyFill="1" applyAlignment="1">
      <alignment horizontal="left" vertical="center" indent="1"/>
    </xf>
    <xf numFmtId="0" fontId="60" fillId="5" borderId="29" xfId="4" applyFont="1" applyFill="1" applyBorder="1" applyAlignment="1">
      <alignment horizontal="left" vertical="center" indent="1"/>
    </xf>
    <xf numFmtId="0" fontId="60" fillId="5" borderId="31" xfId="4" applyFont="1" applyFill="1" applyBorder="1" applyAlignment="1">
      <alignment horizontal="left" vertical="center" indent="1"/>
    </xf>
    <xf numFmtId="0" fontId="60" fillId="5" borderId="15" xfId="4" applyFont="1" applyFill="1" applyBorder="1" applyAlignment="1">
      <alignment horizontal="left" vertical="center" indent="1"/>
    </xf>
    <xf numFmtId="0" fontId="60" fillId="5" borderId="32" xfId="4" applyFont="1" applyFill="1" applyBorder="1" applyAlignment="1">
      <alignment horizontal="left" vertical="center" indent="1"/>
    </xf>
    <xf numFmtId="0" fontId="60" fillId="0" borderId="27" xfId="4" applyFont="1" applyBorder="1" applyAlignment="1">
      <alignment horizontal="center" vertical="center"/>
    </xf>
    <xf numFmtId="0" fontId="60" fillId="0" borderId="30" xfId="4" applyFont="1" applyBorder="1" applyAlignment="1">
      <alignment horizontal="center" vertical="center"/>
    </xf>
    <xf numFmtId="0" fontId="60" fillId="0" borderId="33" xfId="4" applyFont="1" applyBorder="1" applyAlignment="1">
      <alignment horizontal="center" vertical="center"/>
    </xf>
    <xf numFmtId="0" fontId="64" fillId="0" borderId="15" xfId="4" applyFont="1" applyBorder="1" applyAlignment="1">
      <alignment horizontal="center" vertical="center"/>
    </xf>
    <xf numFmtId="0" fontId="58" fillId="14" borderId="20" xfId="4" applyFont="1" applyFill="1" applyBorder="1" applyAlignment="1">
      <alignment horizontal="center" vertical="center"/>
    </xf>
    <xf numFmtId="173" fontId="58" fillId="14" borderId="20" xfId="5" applyNumberFormat="1" applyFont="1" applyFill="1" applyBorder="1" applyAlignment="1">
      <alignment horizontal="center" vertical="center"/>
    </xf>
    <xf numFmtId="165" fontId="58" fillId="14" borderId="20" xfId="6" applyFont="1" applyFill="1" applyBorder="1" applyAlignment="1">
      <alignment horizontal="center" vertical="center"/>
    </xf>
    <xf numFmtId="165" fontId="58" fillId="14" borderId="17" xfId="6" applyFont="1" applyFill="1" applyBorder="1" applyAlignment="1">
      <alignment horizontal="center" vertical="center"/>
    </xf>
    <xf numFmtId="165" fontId="58" fillId="14" borderId="19" xfId="6" applyFont="1" applyFill="1" applyBorder="1" applyAlignment="1">
      <alignment horizontal="center" vertical="center"/>
    </xf>
    <xf numFmtId="165" fontId="58" fillId="14" borderId="18" xfId="6" applyFont="1" applyFill="1" applyBorder="1" applyAlignment="1">
      <alignment horizontal="center" vertical="center"/>
    </xf>
    <xf numFmtId="173" fontId="22" fillId="16" borderId="17" xfId="5" applyNumberFormat="1" applyFont="1" applyFill="1" applyBorder="1" applyAlignment="1">
      <alignment horizontal="center" vertical="center"/>
    </xf>
    <xf numFmtId="173" fontId="22" fillId="16" borderId="19" xfId="5" applyNumberFormat="1" applyFont="1" applyFill="1" applyBorder="1" applyAlignment="1">
      <alignment horizontal="center" vertical="center"/>
    </xf>
    <xf numFmtId="173" fontId="22" fillId="16" borderId="18" xfId="5" applyNumberFormat="1" applyFont="1" applyFill="1" applyBorder="1" applyAlignment="1">
      <alignment horizontal="center" vertical="center"/>
    </xf>
    <xf numFmtId="0" fontId="59" fillId="0" borderId="17" xfId="4" applyFont="1" applyBorder="1" applyAlignment="1">
      <alignment horizontal="center" vertical="center"/>
    </xf>
    <xf numFmtId="0" fontId="59" fillId="0" borderId="18" xfId="4" applyFont="1" applyBorder="1" applyAlignment="1">
      <alignment horizontal="center" vertical="center"/>
    </xf>
    <xf numFmtId="0" fontId="22" fillId="13" borderId="17" xfId="4" applyFont="1" applyFill="1" applyBorder="1" applyAlignment="1">
      <alignment horizontal="left" vertical="center"/>
    </xf>
    <xf numFmtId="0" fontId="22" fillId="13" borderId="19" xfId="4" applyFont="1" applyFill="1" applyBorder="1" applyAlignment="1">
      <alignment horizontal="left" vertical="center"/>
    </xf>
    <xf numFmtId="0" fontId="22" fillId="13" borderId="18" xfId="4" applyFont="1" applyFill="1" applyBorder="1" applyAlignment="1">
      <alignment horizontal="left" vertical="center"/>
    </xf>
    <xf numFmtId="0" fontId="60" fillId="0" borderId="17" xfId="4" applyFont="1" applyBorder="1" applyAlignment="1">
      <alignment horizontal="center" vertical="center"/>
    </xf>
    <xf numFmtId="0" fontId="60" fillId="0" borderId="19" xfId="4" applyFont="1" applyBorder="1" applyAlignment="1">
      <alignment horizontal="center" vertical="center"/>
    </xf>
    <xf numFmtId="0" fontId="60" fillId="0" borderId="18" xfId="4" applyFont="1" applyBorder="1" applyAlignment="1">
      <alignment horizontal="center" vertical="center"/>
    </xf>
    <xf numFmtId="165" fontId="22" fillId="21" borderId="17" xfId="6" applyFont="1" applyFill="1" applyBorder="1" applyAlignment="1">
      <alignment horizontal="center" vertical="center"/>
    </xf>
    <xf numFmtId="165" fontId="22" fillId="21" borderId="19" xfId="6" applyFont="1" applyFill="1" applyBorder="1" applyAlignment="1">
      <alignment horizontal="center" vertical="center"/>
    </xf>
    <xf numFmtId="165" fontId="22" fillId="21" borderId="18" xfId="6" applyFont="1" applyFill="1" applyBorder="1" applyAlignment="1">
      <alignment horizontal="center" vertical="center"/>
    </xf>
    <xf numFmtId="165" fontId="22" fillId="16" borderId="17" xfId="6" applyFont="1" applyFill="1" applyBorder="1" applyAlignment="1">
      <alignment horizontal="center" vertical="center"/>
    </xf>
    <xf numFmtId="165" fontId="22" fillId="16" borderId="19" xfId="6" applyFont="1" applyFill="1" applyBorder="1" applyAlignment="1">
      <alignment horizontal="center" vertical="center"/>
    </xf>
    <xf numFmtId="165" fontId="22" fillId="16" borderId="18" xfId="6" applyFont="1" applyFill="1" applyBorder="1" applyAlignment="1">
      <alignment horizontal="center" vertical="center"/>
    </xf>
    <xf numFmtId="0" fontId="22" fillId="0" borderId="17" xfId="4" applyFont="1" applyBorder="1" applyAlignment="1">
      <alignment horizontal="center" vertical="center"/>
    </xf>
    <xf numFmtId="0" fontId="22" fillId="0" borderId="19" xfId="4" applyFont="1" applyBorder="1" applyAlignment="1">
      <alignment horizontal="center" vertical="center"/>
    </xf>
    <xf numFmtId="0" fontId="22" fillId="0" borderId="18" xfId="4" applyFont="1" applyBorder="1" applyAlignment="1">
      <alignment horizontal="center" vertical="center"/>
    </xf>
    <xf numFmtId="173" fontId="60" fillId="16" borderId="17" xfId="5" applyNumberFormat="1" applyFont="1" applyFill="1" applyBorder="1" applyAlignment="1">
      <alignment horizontal="center" vertical="center"/>
    </xf>
    <xf numFmtId="173" fontId="60" fillId="16" borderId="19" xfId="5" applyNumberFormat="1" applyFont="1" applyFill="1" applyBorder="1" applyAlignment="1">
      <alignment horizontal="center" vertical="center"/>
    </xf>
    <xf numFmtId="173" fontId="60" fillId="16" borderId="18" xfId="5" applyNumberFormat="1" applyFont="1" applyFill="1" applyBorder="1" applyAlignment="1">
      <alignment horizontal="center" vertical="center"/>
    </xf>
    <xf numFmtId="0" fontId="60" fillId="13" borderId="17" xfId="4" applyFont="1" applyFill="1" applyBorder="1" applyAlignment="1">
      <alignment horizontal="left" vertical="center" indent="1"/>
    </xf>
    <xf numFmtId="0" fontId="60" fillId="13" borderId="19" xfId="4" applyFont="1" applyFill="1" applyBorder="1" applyAlignment="1">
      <alignment horizontal="left" vertical="center" indent="1"/>
    </xf>
    <xf numFmtId="0" fontId="60" fillId="13" borderId="18" xfId="4" applyFont="1" applyFill="1" applyBorder="1" applyAlignment="1">
      <alignment horizontal="left" vertical="center" indent="1"/>
    </xf>
    <xf numFmtId="165" fontId="60" fillId="16" borderId="17" xfId="6" applyFont="1" applyFill="1" applyBorder="1" applyAlignment="1">
      <alignment horizontal="center" vertical="center"/>
    </xf>
    <xf numFmtId="165" fontId="60" fillId="16" borderId="19" xfId="6" applyFont="1" applyFill="1" applyBorder="1" applyAlignment="1">
      <alignment horizontal="center" vertical="center"/>
    </xf>
    <xf numFmtId="165" fontId="60" fillId="16" borderId="18" xfId="6" applyFont="1" applyFill="1" applyBorder="1" applyAlignment="1">
      <alignment horizontal="center" vertical="center"/>
    </xf>
    <xf numFmtId="0" fontId="58" fillId="14" borderId="17" xfId="4" applyFont="1" applyFill="1" applyBorder="1" applyAlignment="1">
      <alignment horizontal="center" vertical="center"/>
    </xf>
    <xf numFmtId="0" fontId="58" fillId="14" borderId="18" xfId="4" applyFont="1" applyFill="1" applyBorder="1" applyAlignment="1">
      <alignment horizontal="center" vertical="center"/>
    </xf>
    <xf numFmtId="0" fontId="58" fillId="14" borderId="19" xfId="4" applyFont="1" applyFill="1" applyBorder="1" applyAlignment="1">
      <alignment horizontal="center" vertical="center"/>
    </xf>
    <xf numFmtId="174" fontId="60" fillId="5" borderId="20" xfId="7" applyNumberFormat="1" applyFont="1" applyFill="1" applyBorder="1" applyAlignment="1">
      <alignment horizontal="center" vertical="center"/>
    </xf>
    <xf numFmtId="165" fontId="60" fillId="5" borderId="20" xfId="6" applyFont="1" applyFill="1" applyBorder="1" applyAlignment="1">
      <alignment horizontal="center" vertical="center"/>
    </xf>
    <xf numFmtId="0" fontId="22" fillId="11" borderId="20" xfId="4" applyFont="1" applyFill="1" applyBorder="1" applyAlignment="1">
      <alignment horizontal="center" vertical="center"/>
    </xf>
    <xf numFmtId="0" fontId="22" fillId="11" borderId="20" xfId="4" applyFont="1" applyFill="1" applyBorder="1" applyAlignment="1">
      <alignment horizontal="left" vertical="center"/>
    </xf>
    <xf numFmtId="165" fontId="22" fillId="23" borderId="20" xfId="6" applyFont="1" applyFill="1" applyBorder="1" applyAlignment="1">
      <alignment horizontal="center" vertical="center"/>
    </xf>
    <xf numFmtId="174" fontId="22" fillId="11" borderId="20" xfId="7" applyNumberFormat="1" applyFont="1" applyFill="1" applyBorder="1" applyAlignment="1">
      <alignment horizontal="center" vertical="center"/>
    </xf>
    <xf numFmtId="10" fontId="22" fillId="11" borderId="20" xfId="7" applyNumberFormat="1" applyFont="1" applyFill="1" applyBorder="1" applyAlignment="1">
      <alignment horizontal="center" vertical="center"/>
    </xf>
    <xf numFmtId="0" fontId="54" fillId="15" borderId="20" xfId="4" applyFont="1" applyFill="1" applyBorder="1" applyAlignment="1">
      <alignment horizontal="left" vertical="center"/>
    </xf>
    <xf numFmtId="174" fontId="54" fillId="0" borderId="20" xfId="7" applyNumberFormat="1" applyFont="1" applyBorder="1" applyAlignment="1">
      <alignment horizontal="center" vertical="center"/>
    </xf>
    <xf numFmtId="165" fontId="46" fillId="5" borderId="20" xfId="6" applyFont="1" applyFill="1" applyBorder="1" applyAlignment="1">
      <alignment horizontal="center" vertical="center"/>
    </xf>
    <xf numFmtId="0" fontId="63" fillId="0" borderId="17" xfId="4" applyFont="1" applyBorder="1" applyAlignment="1">
      <alignment horizontal="center" vertical="center"/>
    </xf>
    <xf numFmtId="0" fontId="63" fillId="0" borderId="18" xfId="4" applyFont="1" applyBorder="1" applyAlignment="1">
      <alignment horizontal="center" vertical="center"/>
    </xf>
    <xf numFmtId="165" fontId="46" fillId="5" borderId="20" xfId="6" applyFont="1" applyFill="1" applyBorder="1" applyAlignment="1">
      <alignment horizontal="left" vertical="center"/>
    </xf>
    <xf numFmtId="174" fontId="46" fillId="5" borderId="20" xfId="7" applyNumberFormat="1" applyFont="1" applyFill="1" applyBorder="1" applyAlignment="1">
      <alignment horizontal="center" vertical="center"/>
    </xf>
    <xf numFmtId="10" fontId="46" fillId="5" borderId="20" xfId="7" applyNumberFormat="1" applyFont="1" applyFill="1" applyBorder="1" applyAlignment="1">
      <alignment horizontal="center" vertical="center"/>
    </xf>
    <xf numFmtId="165" fontId="60" fillId="16" borderId="20" xfId="6" applyFont="1" applyFill="1" applyBorder="1" applyAlignment="1">
      <alignment horizontal="left" vertical="center"/>
    </xf>
    <xf numFmtId="10" fontId="60" fillId="0" borderId="20" xfId="7" applyNumberFormat="1" applyFont="1" applyBorder="1" applyAlignment="1">
      <alignment horizontal="center" vertical="center"/>
    </xf>
    <xf numFmtId="165" fontId="60" fillId="16" borderId="20" xfId="6" applyFont="1" applyFill="1" applyBorder="1" applyAlignment="1">
      <alignment horizontal="center" vertical="center"/>
    </xf>
    <xf numFmtId="10" fontId="60" fillId="16" borderId="20" xfId="7" applyNumberFormat="1" applyFont="1" applyFill="1" applyBorder="1" applyAlignment="1">
      <alignment horizontal="center" vertical="center"/>
    </xf>
    <xf numFmtId="165" fontId="60" fillId="0" borderId="20" xfId="6" applyFont="1" applyFill="1" applyBorder="1" applyAlignment="1">
      <alignment horizontal="left" vertical="center"/>
    </xf>
    <xf numFmtId="165" fontId="60" fillId="0" borderId="20" xfId="6" applyFont="1" applyBorder="1" applyAlignment="1">
      <alignment horizontal="center" vertical="center"/>
    </xf>
    <xf numFmtId="165" fontId="22" fillId="22" borderId="20" xfId="6" applyFont="1" applyFill="1" applyBorder="1" applyAlignment="1">
      <alignment horizontal="center" vertical="center"/>
    </xf>
    <xf numFmtId="165" fontId="22" fillId="11" borderId="20" xfId="6" applyFont="1" applyFill="1" applyBorder="1" applyAlignment="1">
      <alignment horizontal="center" vertical="center"/>
    </xf>
    <xf numFmtId="0" fontId="54" fillId="15" borderId="17" xfId="4" applyFont="1" applyFill="1" applyBorder="1" applyAlignment="1">
      <alignment horizontal="left" vertical="center"/>
    </xf>
    <xf numFmtId="0" fontId="54" fillId="15" borderId="19" xfId="4" applyFont="1" applyFill="1" applyBorder="1" applyAlignment="1">
      <alignment horizontal="left" vertical="center"/>
    </xf>
    <xf numFmtId="0" fontId="54" fillId="15" borderId="18" xfId="4" applyFont="1" applyFill="1" applyBorder="1" applyAlignment="1">
      <alignment horizontal="left" vertical="center"/>
    </xf>
    <xf numFmtId="165" fontId="54" fillId="0" borderId="20" xfId="6" applyFont="1" applyBorder="1" applyAlignment="1">
      <alignment horizontal="center" vertical="center"/>
    </xf>
    <xf numFmtId="166" fontId="54" fillId="0" borderId="20" xfId="5" applyFont="1" applyBorder="1" applyAlignment="1">
      <alignment horizontal="center" vertical="center"/>
    </xf>
    <xf numFmtId="165" fontId="60" fillId="5" borderId="17" xfId="6" applyFont="1" applyFill="1" applyBorder="1" applyAlignment="1">
      <alignment horizontal="center" vertical="center"/>
    </xf>
    <xf numFmtId="165" fontId="60" fillId="5" borderId="19" xfId="6" applyFont="1" applyFill="1" applyBorder="1" applyAlignment="1">
      <alignment horizontal="center" vertical="center"/>
    </xf>
    <xf numFmtId="165" fontId="60" fillId="5" borderId="18" xfId="6" applyFont="1" applyFill="1" applyBorder="1" applyAlignment="1">
      <alignment horizontal="center" vertical="center"/>
    </xf>
    <xf numFmtId="165" fontId="22" fillId="20" borderId="20" xfId="6" applyFont="1" applyFill="1" applyBorder="1" applyAlignment="1">
      <alignment horizontal="center" vertical="center"/>
    </xf>
    <xf numFmtId="166" fontId="54" fillId="16" borderId="20" xfId="5" applyFont="1" applyFill="1" applyBorder="1" applyAlignment="1">
      <alignment horizontal="center" vertical="center"/>
    </xf>
    <xf numFmtId="165" fontId="22" fillId="17" borderId="20" xfId="6" applyFont="1" applyFill="1" applyBorder="1" applyAlignment="1">
      <alignment horizontal="center" vertical="center"/>
    </xf>
    <xf numFmtId="0" fontId="62" fillId="14" borderId="17" xfId="4" applyFont="1" applyFill="1" applyBorder="1" applyAlignment="1">
      <alignment horizontal="center" vertical="center"/>
    </xf>
    <xf numFmtId="0" fontId="62" fillId="14" borderId="18" xfId="4" applyFont="1" applyFill="1" applyBorder="1" applyAlignment="1">
      <alignment horizontal="center" vertical="center"/>
    </xf>
    <xf numFmtId="0" fontId="62" fillId="14" borderId="20" xfId="4" applyFont="1" applyFill="1" applyBorder="1" applyAlignment="1">
      <alignment horizontal="center" vertical="center"/>
    </xf>
    <xf numFmtId="165" fontId="60" fillId="21" borderId="20" xfId="6" applyFont="1" applyFill="1" applyBorder="1" applyAlignment="1">
      <alignment horizontal="center" vertical="center"/>
    </xf>
    <xf numFmtId="166" fontId="54" fillId="16" borderId="17" xfId="5" applyFont="1" applyFill="1" applyBorder="1" applyAlignment="1">
      <alignment horizontal="center" vertical="center"/>
    </xf>
    <xf numFmtId="166" fontId="54" fillId="16" borderId="19" xfId="5" applyFont="1" applyFill="1" applyBorder="1" applyAlignment="1">
      <alignment horizontal="center" vertical="center"/>
    </xf>
    <xf numFmtId="166" fontId="54" fillId="16" borderId="18" xfId="5" applyFont="1" applyFill="1" applyBorder="1" applyAlignment="1">
      <alignment horizontal="center" vertical="center"/>
    </xf>
    <xf numFmtId="165" fontId="60" fillId="20" borderId="20" xfId="6" applyFont="1" applyFill="1" applyBorder="1" applyAlignment="1">
      <alignment horizontal="center" vertical="center"/>
    </xf>
    <xf numFmtId="166" fontId="54" fillId="0" borderId="17" xfId="5" applyFont="1" applyBorder="1" applyAlignment="1">
      <alignment horizontal="center" vertical="center"/>
    </xf>
    <xf numFmtId="166" fontId="54" fillId="0" borderId="19" xfId="5" applyFont="1" applyBorder="1" applyAlignment="1">
      <alignment horizontal="center" vertical="center"/>
    </xf>
    <xf numFmtId="166" fontId="54" fillId="0" borderId="18" xfId="5" applyFont="1" applyBorder="1" applyAlignment="1">
      <alignment horizontal="center" vertical="center"/>
    </xf>
    <xf numFmtId="165" fontId="60" fillId="19" borderId="20" xfId="6" applyFont="1" applyFill="1" applyBorder="1" applyAlignment="1">
      <alignment horizontal="center" vertical="center"/>
    </xf>
    <xf numFmtId="165" fontId="60" fillId="18" borderId="20" xfId="6" applyFont="1" applyFill="1" applyBorder="1" applyAlignment="1">
      <alignment horizontal="center" vertical="center"/>
    </xf>
    <xf numFmtId="166" fontId="54" fillId="0" borderId="20" xfId="5" applyFont="1" applyFill="1" applyBorder="1" applyAlignment="1">
      <alignment horizontal="center" vertical="center"/>
    </xf>
    <xf numFmtId="166" fontId="61" fillId="16" borderId="20" xfId="5" applyFont="1" applyFill="1" applyBorder="1" applyAlignment="1">
      <alignment horizontal="center" vertical="center"/>
    </xf>
    <xf numFmtId="0" fontId="59" fillId="0" borderId="20" xfId="4" applyFont="1" applyBorder="1" applyAlignment="1">
      <alignment horizontal="center" vertical="center"/>
    </xf>
    <xf numFmtId="165" fontId="54" fillId="0" borderId="17" xfId="6" applyFont="1" applyBorder="1" applyAlignment="1">
      <alignment horizontal="center" vertical="center"/>
    </xf>
    <xf numFmtId="165" fontId="54" fillId="0" borderId="19" xfId="6" applyFont="1" applyBorder="1" applyAlignment="1">
      <alignment horizontal="center" vertical="center"/>
    </xf>
    <xf numFmtId="165" fontId="54" fillId="0" borderId="18" xfId="6" applyFont="1" applyBorder="1" applyAlignment="1">
      <alignment horizontal="center" vertical="center"/>
    </xf>
    <xf numFmtId="173" fontId="54" fillId="0" borderId="17" xfId="5" applyNumberFormat="1" applyFont="1" applyBorder="1" applyAlignment="1">
      <alignment horizontal="center" vertical="center"/>
    </xf>
    <xf numFmtId="173" fontId="54" fillId="0" borderId="19" xfId="5" applyNumberFormat="1" applyFont="1" applyBorder="1" applyAlignment="1">
      <alignment horizontal="center" vertical="center"/>
    </xf>
    <xf numFmtId="173" fontId="54" fillId="0" borderId="18" xfId="5" applyNumberFormat="1" applyFont="1" applyBorder="1" applyAlignment="1">
      <alignment horizontal="center" vertical="center"/>
    </xf>
    <xf numFmtId="0" fontId="46" fillId="5" borderId="0" xfId="4" applyFont="1" applyFill="1" applyAlignment="1">
      <alignment horizontal="left" vertical="center"/>
    </xf>
    <xf numFmtId="0" fontId="54" fillId="0" borderId="12" xfId="4" applyFont="1" applyBorder="1" applyAlignment="1">
      <alignment horizontal="center" vertical="center"/>
    </xf>
    <xf numFmtId="172" fontId="54" fillId="0" borderId="12" xfId="4" applyNumberFormat="1" applyFont="1" applyBorder="1" applyAlignment="1">
      <alignment horizontal="center" vertical="center"/>
    </xf>
    <xf numFmtId="0" fontId="47" fillId="0" borderId="15" xfId="4" applyFont="1" applyBorder="1" applyAlignment="1">
      <alignment horizontal="left" vertical="center" wrapText="1"/>
    </xf>
    <xf numFmtId="0" fontId="54" fillId="0" borderId="12" xfId="4" applyFont="1" applyBorder="1" applyAlignment="1">
      <alignment horizontal="center" vertical="center" wrapText="1"/>
    </xf>
    <xf numFmtId="165" fontId="54" fillId="0" borderId="12" xfId="6" applyFont="1" applyBorder="1" applyAlignment="1">
      <alignment horizontal="center" vertical="center" wrapText="1"/>
    </xf>
    <xf numFmtId="165" fontId="54" fillId="0" borderId="12" xfId="6" applyFont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8" fillId="0" borderId="0" xfId="0" applyFont="1"/>
    <xf numFmtId="165" fontId="7" fillId="0" borderId="0" xfId="1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0" xfId="4" applyAlignment="1">
      <alignment horizontal="center"/>
    </xf>
    <xf numFmtId="0" fontId="16" fillId="0" borderId="0" xfId="4" applyFont="1" applyAlignment="1">
      <alignment horizontal="left" vertical="center" wrapText="1"/>
    </xf>
  </cellXfs>
  <cellStyles count="11">
    <cellStyle name="Hipervínculo" xfId="3" builtinId="8"/>
    <cellStyle name="Millares 2" xfId="5" xr:uid="{C4C96DFC-BC4C-4951-BC51-28C0F4405BCC}"/>
    <cellStyle name="Moneda" xfId="1" builtinId="4"/>
    <cellStyle name="Moneda 2" xfId="6" xr:uid="{E75530F9-F21D-4921-99F9-50A96CB1296A}"/>
    <cellStyle name="Normal" xfId="0" builtinId="0"/>
    <cellStyle name="Normal 2" xfId="4" xr:uid="{351DE7BE-B6EB-4E65-A834-EB1B321BBD2C}"/>
    <cellStyle name="Normal 2 2" xfId="9" xr:uid="{34E295D7-793C-4E90-9F53-D1440E4F5E61}"/>
    <cellStyle name="Normal 3" xfId="8" xr:uid="{B4B7C90B-75CC-4F29-A1FC-8F39E7B48322}"/>
    <cellStyle name="Porcentaje" xfId="2" builtinId="5"/>
    <cellStyle name="Porcentaje 2" xfId="7" xr:uid="{33FCF1C0-4656-4C46-99B8-7DBFEE23BB41}"/>
    <cellStyle name="Porcentaje 3" xfId="10" xr:uid="{49ED4A42-0EF7-45D3-B6E5-8C35AD8FE061}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justify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justify" vertical="top" textRotation="0" wrapText="1" indent="0" justifyLastLine="0" shrinkToFit="0" readingOrder="0"/>
    </dxf>
    <dxf>
      <border outline="0">
        <top style="double">
          <color indexed="64"/>
        </top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Blanco" pivot="0" count="1" xr9:uid="{D594ED87-F23A-4742-99AB-D084A11BCE7B}">
      <tableStyleElement type="wholeTabl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D1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svg"/><Relationship Id="rId2" Type="http://schemas.openxmlformats.org/officeDocument/2006/relationships/image" Target="../media/image7.png"/><Relationship Id="rId1" Type="http://schemas.openxmlformats.org/officeDocument/2006/relationships/image" Target="../media/image3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1676400</xdr:colOff>
      <xdr:row>0</xdr:row>
      <xdr:rowOff>66675</xdr:rowOff>
    </xdr:from>
    <xdr:ext cx="1390650" cy="990600"/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172825" y="66675"/>
          <a:ext cx="1390650" cy="990600"/>
        </a:xfrm>
        <a:prstGeom prst="rect">
          <a:avLst/>
        </a:prstGeom>
        <a:noFill/>
      </xdr:spPr>
    </xdr:pic>
    <xdr:clientData fLocksWithSheet="0"/>
  </xdr:oneCellAnchor>
  <xdr:twoCellAnchor>
    <xdr:from>
      <xdr:col>5</xdr:col>
      <xdr:colOff>3879</xdr:colOff>
      <xdr:row>19</xdr:row>
      <xdr:rowOff>7829</xdr:rowOff>
    </xdr:from>
    <xdr:to>
      <xdr:col>5</xdr:col>
      <xdr:colOff>2066193</xdr:colOff>
      <xdr:row>21</xdr:row>
      <xdr:rowOff>7830</xdr:rowOff>
    </xdr:to>
    <xdr:sp macro="[0]!Borr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321146" y="3928585"/>
          <a:ext cx="2062314" cy="39872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Swis721 Lt BT" panose="020B0403020202020204" pitchFamily="34" charset="0"/>
            </a:rPr>
            <a:t>Limpiar</a:t>
          </a:r>
        </a:p>
      </xdr:txBody>
    </xdr:sp>
    <xdr:clientData/>
  </xdr:twoCellAnchor>
  <xdr:twoCellAnchor>
    <xdr:from>
      <xdr:col>6</xdr:col>
      <xdr:colOff>7327</xdr:colOff>
      <xdr:row>18</xdr:row>
      <xdr:rowOff>193516</xdr:rowOff>
    </xdr:from>
    <xdr:to>
      <xdr:col>6</xdr:col>
      <xdr:colOff>3100151</xdr:colOff>
      <xdr:row>20</xdr:row>
      <xdr:rowOff>193517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502792" y="3914911"/>
          <a:ext cx="3092824" cy="398722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lt1"/>
              </a:solidFill>
              <a:latin typeface="Swis721 Lt BT" panose="020B0403020202020204" pitchFamily="34" charset="0"/>
              <a:ea typeface="+mn-ea"/>
              <a:cs typeface="+mn-cs"/>
            </a:rPr>
            <a:t>Guardar</a:t>
          </a:r>
          <a:r>
            <a:rPr lang="es-MX" sz="1600" b="1" baseline="0">
              <a:solidFill>
                <a:schemeClr val="lt1"/>
              </a:solidFill>
              <a:latin typeface="Swis721 Lt BT" panose="020B0403020202020204" pitchFamily="34" charset="0"/>
              <a:ea typeface="+mn-ea"/>
              <a:cs typeface="+mn-cs"/>
            </a:rPr>
            <a:t> copia del Archivo</a:t>
          </a:r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479335</xdr:colOff>
      <xdr:row>40</xdr:row>
      <xdr:rowOff>180975</xdr:rowOff>
    </xdr:from>
    <xdr:to>
      <xdr:col>5</xdr:col>
      <xdr:colOff>104356</xdr:colOff>
      <xdr:row>45</xdr:row>
      <xdr:rowOff>123825</xdr:rowOff>
    </xdr:to>
    <xdr:sp macro="" textlink="'03_REF_DATOS'!D18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  <a:ext uri="{147F2762-F138-4A5C-976F-8EAC2B608ADB}">
              <a16:predDERef xmlns:a16="http://schemas.microsoft.com/office/drawing/2014/main" pred="{55660D86-1AAE-4303-A818-6802C24EAF5F}"/>
            </a:ext>
          </a:extLst>
        </xdr:cNvPr>
        <xdr:cNvSpPr txBox="1"/>
      </xdr:nvSpPr>
      <xdr:spPr>
        <a:xfrm>
          <a:off x="3146335" y="8524875"/>
          <a:ext cx="6035346" cy="9429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fld id="{F2883020-90AA-4ECB-B479-C9A3E1E8E36E}" type="TxLink">
            <a:rPr lang="en-US" sz="1100" b="0" i="0" u="none" strike="noStrike">
              <a:solidFill>
                <a:srgbClr val="000000"/>
              </a:solidFill>
              <a:latin typeface="Swis721 LtCn BT"/>
              <a:ea typeface="Calibri"/>
              <a:cs typeface="Calibri"/>
            </a:rPr>
            <a:pPr marL="0" indent="0" algn="ctr"/>
            <a:t>_______________________________________________
Arq. José Luis González Moreno
Dirección de Proyectos
(55) 1912 9929
joseluis.gonzalez@dyven.com.mx</a:t>
          </a:fld>
          <a:endParaRPr lang="en-US" sz="1100" b="0" i="0" u="none" strike="noStrike">
            <a:solidFill>
              <a:sysClr val="windowText" lastClr="000000"/>
            </a:solidFill>
            <a:latin typeface="Swis721 LtCn BT" panose="020B0406020202030204" pitchFamily="34" charset="0"/>
          </a:endParaRPr>
        </a:p>
      </xdr:txBody>
    </xdr:sp>
    <xdr:clientData/>
  </xdr:twoCellAnchor>
  <xdr:oneCellAnchor>
    <xdr:from>
      <xdr:col>11</xdr:col>
      <xdr:colOff>952500</xdr:colOff>
      <xdr:row>10</xdr:row>
      <xdr:rowOff>18677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6827500" y="201705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16565</xdr:colOff>
      <xdr:row>0</xdr:row>
      <xdr:rowOff>66259</xdr:rowOff>
    </xdr:from>
    <xdr:to>
      <xdr:col>62</xdr:col>
      <xdr:colOff>151157</xdr:colOff>
      <xdr:row>0</xdr:row>
      <xdr:rowOff>893795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434" t="11229" r="21337" b="21766"/>
        <a:stretch/>
      </xdr:blipFill>
      <xdr:spPr bwMode="auto">
        <a:xfrm>
          <a:off x="12961040" y="66259"/>
          <a:ext cx="1277592" cy="827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1676400</xdr:colOff>
      <xdr:row>0</xdr:row>
      <xdr:rowOff>66675</xdr:rowOff>
    </xdr:from>
    <xdr:ext cx="1400175" cy="10001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68175" y="66675"/>
          <a:ext cx="1400175" cy="1000125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1676400</xdr:colOff>
      <xdr:row>0</xdr:row>
      <xdr:rowOff>66675</xdr:rowOff>
    </xdr:from>
    <xdr:ext cx="1390650" cy="99060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68175" y="66675"/>
          <a:ext cx="1390650" cy="990600"/>
        </a:xfrm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377078</xdr:colOff>
      <xdr:row>0</xdr:row>
      <xdr:rowOff>107367</xdr:rowOff>
    </xdr:from>
    <xdr:ext cx="952500" cy="10001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/>
        <a:srcRect l="23214" r="22364"/>
        <a:stretch/>
      </xdr:blipFill>
      <xdr:spPr>
        <a:xfrm>
          <a:off x="13252637" y="107367"/>
          <a:ext cx="952500" cy="1000125"/>
        </a:xfrm>
        <a:prstGeom prst="rect">
          <a:avLst/>
        </a:prstGeom>
        <a:noFill/>
      </xdr:spPr>
    </xdr:pic>
    <xdr:clientData fLocksWithSheet="0"/>
  </xdr:oneCellAnchor>
  <xdr:twoCellAnchor>
    <xdr:from>
      <xdr:col>1</xdr:col>
      <xdr:colOff>676274</xdr:colOff>
      <xdr:row>10</xdr:row>
      <xdr:rowOff>7040</xdr:rowOff>
    </xdr:from>
    <xdr:to>
      <xdr:col>6</xdr:col>
      <xdr:colOff>776654</xdr:colOff>
      <xdr:row>12</xdr:row>
      <xdr:rowOff>15323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844793" y="2124521"/>
          <a:ext cx="9229726" cy="403937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10</xdr:row>
          <xdr:rowOff>76200</xdr:rowOff>
        </xdr:from>
        <xdr:to>
          <xdr:col>3</xdr:col>
          <xdr:colOff>3257550</xdr:colOff>
          <xdr:row>11</xdr:row>
          <xdr:rowOff>161925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105292</xdr:colOff>
          <xdr:row>10</xdr:row>
          <xdr:rowOff>58616</xdr:rowOff>
        </xdr:from>
        <xdr:to>
          <xdr:col>6</xdr:col>
          <xdr:colOff>510212</xdr:colOff>
          <xdr:row>11</xdr:row>
          <xdr:rowOff>150936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pSpPr/>
          </xdr:nvGrpSpPr>
          <xdr:grpSpPr>
            <a:xfrm>
              <a:off x="8691399" y="2222152"/>
              <a:ext cx="2296313" cy="296427"/>
              <a:chOff x="7527466" y="2218802"/>
              <a:chExt cx="2302588" cy="218130"/>
            </a:xfrm>
          </xdr:grpSpPr>
          <xdr:sp macro="" textlink="">
            <xdr:nvSpPr>
              <xdr:cNvPr id="2051" name="Option 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600-000003080000}"/>
                  </a:ext>
                </a:extLst>
              </xdr:cNvPr>
              <xdr:cNvSpPr/>
            </xdr:nvSpPr>
            <xdr:spPr bwMode="auto">
              <a:xfrm>
                <a:off x="7527466" y="2227816"/>
                <a:ext cx="514351" cy="2073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1F497D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C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MX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Código</a:t>
                </a:r>
              </a:p>
            </xdr:txBody>
          </xdr:sp>
          <xdr:sp macro="" textlink="">
            <xdr:nvSpPr>
              <xdr:cNvPr id="2052" name="Option 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600-000004080000}"/>
                  </a:ext>
                </a:extLst>
              </xdr:cNvPr>
              <xdr:cNvSpPr/>
            </xdr:nvSpPr>
            <xdr:spPr bwMode="auto">
              <a:xfrm>
                <a:off x="8374803" y="2229581"/>
                <a:ext cx="704850" cy="207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MX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Descripción</a:t>
                </a:r>
              </a:p>
            </xdr:txBody>
          </xdr:sp>
          <xdr:sp macro="" textlink="">
            <xdr:nvSpPr>
              <xdr:cNvPr id="2053" name="Option 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600-000005080000}"/>
                  </a:ext>
                </a:extLst>
              </xdr:cNvPr>
              <xdr:cNvSpPr/>
            </xdr:nvSpPr>
            <xdr:spPr bwMode="auto">
              <a:xfrm>
                <a:off x="9372854" y="2218802"/>
                <a:ext cx="457200" cy="207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MX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Unidad</a:t>
                </a:r>
              </a:p>
            </xdr:txBody>
          </xdr:sp>
        </xdr:grpSp>
        <xdr:clientData/>
      </xdr:twoCellAnchor>
    </mc:Choice>
    <mc:Fallback/>
  </mc:AlternateContent>
  <xdr:twoCellAnchor editAs="oneCell">
    <xdr:from>
      <xdr:col>1</xdr:col>
      <xdr:colOff>154083</xdr:colOff>
      <xdr:row>10</xdr:row>
      <xdr:rowOff>16635</xdr:rowOff>
    </xdr:from>
    <xdr:to>
      <xdr:col>1</xdr:col>
      <xdr:colOff>552285</xdr:colOff>
      <xdr:row>12</xdr:row>
      <xdr:rowOff>10766</xdr:rowOff>
    </xdr:to>
    <xdr:pic>
      <xdr:nvPicPr>
        <xdr:cNvPr id="4" name="Gráfico 3" descr="Lupa con relleno sóli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25533" y="1750185"/>
          <a:ext cx="398202" cy="3941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ers\tuxpan-casetas3\Documents\ENT%20CHIN&#193;\ESTIMACIONES\ESTIMACION%2001%20(10-31julio2013)\Xoxtla\LIBTLAX-XOXTL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rsamx.sharepoint.com/Users/jrgm6/Desktop/MANWAH%2011%20ABRIL/Copia%20de%20Cierre%20Manwa%200804%20REV%201%20Estructurado%20domingo%2010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memt\Downloads\numletras.xlam" TargetMode="External"/><Relationship Id="rId1" Type="http://schemas.openxmlformats.org/officeDocument/2006/relationships/externalLinkPath" Target="file:///C:\Users\mmemt\Downloads\numletra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 E7 Libramiento"/>
      <sheetName val="concentrado Libramiento"/>
      <sheetName val="Resumen Señ Libramiento"/>
      <sheetName val="Resume Obra Dren Libramiento"/>
      <sheetName val="Forma E7 Xoxtla"/>
      <sheetName val="concentrado Xoxtla"/>
      <sheetName val="Resume Xoxtla"/>
      <sheetName val="Resumen Señ Xoxtl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ierre"/>
      <sheetName val="Hoja3"/>
      <sheetName val="Pres. C.D"/>
      <sheetName val="Hoja1"/>
      <sheetName val="Tabulador Venta"/>
      <sheetName val="Pres. Venta form"/>
      <sheetName val="Pres Venta Usd Manual"/>
      <sheetName val="Hoja4"/>
      <sheetName val="Ind. O"/>
      <sheetName val="Tabuladores"/>
      <sheetName val="Guantes"/>
      <sheetName val="Fianzas"/>
      <sheetName val="Explosión de insumos"/>
      <sheetName val="Antic."/>
      <sheetName val="PROGRAMA DE ACTIVIDADES"/>
      <sheetName val="Prog. Gen."/>
      <sheetName val="Flujo fin"/>
      <sheetName val="Salarios"/>
      <sheetName val="Hoja2"/>
    </sheetNames>
    <sheetDataSet>
      <sheetData sheetId="0">
        <row r="47">
          <cell r="H47">
            <v>1.1967791998834123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  <sheetName val="Hoja2"/>
      <sheetName val="Hoja3"/>
    </sheetNames>
    <definedNames>
      <definedName name="NumLetras"/>
    </definedNames>
    <sheetDataSet>
      <sheetData sheetId="0"/>
      <sheetData sheetId="1"/>
      <sheetData sheetId="2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4</v>
  </rv>
  <rv s="0">
    <v>1</v>
    <v>5</v>
  </rv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91B3BF0-92F8-44D2-8EA6-5CAB938B9AB7}" name="Ref_NeoData" displayName="Ref_NeoData" ref="A1:H370" totalsRowShown="0" headerRowDxfId="4" headerRowBorderDxfId="3" tableBorderDxfId="2">
  <autoFilter ref="A1:H370" xr:uid="{F91B3BF0-92F8-44D2-8EA6-5CAB938B9AB7}"/>
  <tableColumns count="8">
    <tableColumn id="1" xr3:uid="{DA0E1D1A-5F4E-4873-B541-A54D625B7F66}" name="Código"/>
    <tableColumn id="2" xr3:uid="{F6F58AB0-3F7C-4077-AAED-221F442A5937}" name="Concepto" dataDxfId="1"/>
    <tableColumn id="3" xr3:uid="{36299251-89C2-4E36-9471-69A9A2457B85}" name="Unidad" dataDxfId="0"/>
    <tableColumn id="4" xr3:uid="{92E1C929-CA71-4151-8079-9CCFFA9F5161}" name="Fecha"/>
    <tableColumn id="5" xr3:uid="{CC58F0F0-8570-49F7-B6E7-C794CF932353}" name="Cantidad"/>
    <tableColumn id="6" xr3:uid="{A465DD61-817F-40C5-AD5A-3CCCB73685A8}" name="Precio"/>
    <tableColumn id="7" xr3:uid="{D09A5AE0-1CA9-4431-8DB1-222BA40F623A}" name="Importe"/>
    <tableColumn id="8" xr3:uid="{57943B17-8C78-48E3-8D46-5DF201B2501B}" name="% Incidencia"/>
  </tableColumns>
  <tableStyleInfo name="Blanco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ontacto@dyven.com.mx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812C2-37C7-4703-9CD8-06691BFD24E3}">
  <sheetPr codeName="Hoja10">
    <tabColor theme="5" tint="-0.499984740745262"/>
    <pageSetUpPr fitToPage="1"/>
  </sheetPr>
  <dimension ref="A1:H963"/>
  <sheetViews>
    <sheetView tabSelected="1" zoomScale="85" zoomScaleNormal="85" zoomScalePageLayoutView="55" workbookViewId="0">
      <selection activeCell="N24" sqref="N24"/>
    </sheetView>
  </sheetViews>
  <sheetFormatPr baseColWidth="10" defaultRowHeight="15"/>
  <cols>
    <col min="1" max="1" width="2.5703125" style="87" customWidth="1"/>
    <col min="2" max="3" width="14.140625" style="87" customWidth="1"/>
    <col min="4" max="4" width="50.42578125" style="87" customWidth="1"/>
    <col min="5" max="5" width="28.42578125" style="87" customWidth="1"/>
    <col min="6" max="6" width="32.7109375" style="87" customWidth="1"/>
    <col min="7" max="7" width="46.5703125" style="87" customWidth="1"/>
    <col min="8" max="8" width="2.7109375" customWidth="1"/>
  </cols>
  <sheetData>
    <row r="1" spans="1:7" ht="15.75">
      <c r="A1" s="108"/>
      <c r="B1" s="108"/>
      <c r="C1" s="108"/>
      <c r="D1" s="108"/>
      <c r="E1" s="108"/>
      <c r="F1" s="108"/>
      <c r="G1" s="108"/>
    </row>
    <row r="2" spans="1:7" ht="25.5">
      <c r="A2" s="108"/>
      <c r="B2" s="189" t="s">
        <v>339</v>
      </c>
      <c r="C2" s="108"/>
      <c r="D2" s="108"/>
      <c r="E2" s="108"/>
      <c r="F2" s="108"/>
      <c r="G2" s="108"/>
    </row>
    <row r="3" spans="1:7" ht="16.5">
      <c r="A3" s="108"/>
      <c r="B3" s="190" t="s">
        <v>1</v>
      </c>
      <c r="C3" s="108"/>
      <c r="D3" s="108"/>
      <c r="E3" s="108"/>
      <c r="F3" s="108"/>
      <c r="G3" s="108"/>
    </row>
    <row r="4" spans="1:7" ht="15.75">
      <c r="A4" s="108"/>
      <c r="B4" s="108" t="s">
        <v>2</v>
      </c>
      <c r="C4" s="108"/>
      <c r="D4" s="108"/>
      <c r="E4" s="108"/>
      <c r="F4" s="108"/>
      <c r="G4" s="108"/>
    </row>
    <row r="5" spans="1:7" ht="15.75">
      <c r="A5" s="108"/>
      <c r="B5" s="191"/>
      <c r="C5" s="191"/>
      <c r="D5" s="191"/>
      <c r="E5" s="191"/>
      <c r="F5" s="191"/>
      <c r="G5" s="191"/>
    </row>
    <row r="6" spans="1:7" ht="15.75">
      <c r="A6" s="108"/>
      <c r="B6" s="108"/>
      <c r="C6" s="108"/>
      <c r="D6" s="108"/>
      <c r="E6" s="108"/>
      <c r="F6" s="108"/>
      <c r="G6" s="108"/>
    </row>
    <row r="7" spans="1:7" ht="15.75">
      <c r="A7" s="108"/>
      <c r="B7" s="192" t="s">
        <v>3</v>
      </c>
      <c r="C7" s="108"/>
      <c r="D7" s="108"/>
      <c r="E7" s="108"/>
      <c r="G7" s="297">
        <f ca="1">NOW()</f>
        <v>45793.476657060186</v>
      </c>
    </row>
    <row r="8" spans="1:7" ht="15.75">
      <c r="A8" s="108"/>
      <c r="B8" s="108"/>
      <c r="C8" s="108"/>
      <c r="D8" s="108"/>
      <c r="E8" s="108"/>
      <c r="F8" s="108"/>
      <c r="G8" s="108"/>
    </row>
    <row r="9" spans="1:7" ht="15.75">
      <c r="A9" s="108"/>
      <c r="B9" s="301" t="s">
        <v>5</v>
      </c>
      <c r="C9" s="301"/>
      <c r="D9" s="252"/>
      <c r="F9" s="194" t="s">
        <v>344</v>
      </c>
      <c r="G9" s="191"/>
    </row>
    <row r="10" spans="1:7" ht="15.75">
      <c r="A10" s="108"/>
      <c r="D10" s="247"/>
    </row>
    <row r="11" spans="1:7" ht="15.75">
      <c r="A11" s="108"/>
      <c r="B11" s="301" t="s">
        <v>7</v>
      </c>
      <c r="C11" s="301"/>
      <c r="D11" s="252"/>
      <c r="F11" s="194" t="s">
        <v>345</v>
      </c>
      <c r="G11" s="191"/>
    </row>
    <row r="12" spans="1:7" ht="15.75">
      <c r="A12" s="108"/>
      <c r="B12" s="196"/>
      <c r="C12" s="196"/>
      <c r="D12" s="196"/>
      <c r="G12" s="108"/>
    </row>
    <row r="13" spans="1:7" ht="15.75">
      <c r="A13" s="108"/>
      <c r="B13" s="248" t="s">
        <v>347</v>
      </c>
      <c r="C13" s="246"/>
      <c r="D13" s="252"/>
      <c r="F13" s="194" t="s">
        <v>13</v>
      </c>
      <c r="G13" s="191"/>
    </row>
    <row r="14" spans="1:7" ht="15.75">
      <c r="A14" s="108"/>
    </row>
    <row r="15" spans="1:7" ht="15.75">
      <c r="A15" s="108"/>
      <c r="B15" s="301" t="s">
        <v>340</v>
      </c>
      <c r="C15" s="301"/>
      <c r="D15" s="251"/>
      <c r="E15" s="108"/>
      <c r="F15" s="194" t="s">
        <v>16</v>
      </c>
      <c r="G15" s="191"/>
    </row>
    <row r="16" spans="1:7" ht="15.75">
      <c r="A16" s="108"/>
    </row>
    <row r="17" spans="1:8" ht="15.75">
      <c r="A17" s="108"/>
      <c r="B17" s="301" t="s">
        <v>341</v>
      </c>
      <c r="C17" s="301"/>
      <c r="D17" s="244"/>
      <c r="E17" s="108"/>
      <c r="F17" s="194" t="s">
        <v>346</v>
      </c>
      <c r="G17" s="191"/>
    </row>
    <row r="18" spans="1:8" ht="15.75">
      <c r="A18" s="108"/>
      <c r="B18" s="240"/>
      <c r="C18" s="108"/>
      <c r="D18" s="108"/>
      <c r="E18" s="222"/>
    </row>
    <row r="19" spans="1:8" ht="15.75">
      <c r="A19" s="108"/>
      <c r="B19" s="301" t="s">
        <v>342</v>
      </c>
      <c r="C19" s="302"/>
      <c r="D19" s="244" t="s">
        <v>70</v>
      </c>
      <c r="E19" s="108"/>
    </row>
    <row r="20" spans="1:8" ht="15.75">
      <c r="A20" s="108"/>
    </row>
    <row r="21" spans="1:8" ht="15.75">
      <c r="A21" s="108"/>
      <c r="B21" s="301" t="s">
        <v>343</v>
      </c>
      <c r="C21" s="302"/>
      <c r="D21" s="244" t="str" cm="1">
        <f t="array" ref="D21">_xlfn.IFS(D19='03_REF_DATOS'!F3,'03_REF_DATOS'!D1,D19='03_REF_DATOS'!F4,'03_REF_DATOS'!D9)</f>
        <v>Ingenieria y Construcciones Dyven, S.A. de C.V.</v>
      </c>
    </row>
    <row r="22" spans="1:8" ht="15.75">
      <c r="A22" s="108"/>
      <c r="H22" s="108"/>
    </row>
    <row r="23" spans="1:8" ht="15.75">
      <c r="A23" s="108"/>
      <c r="E23" s="108"/>
    </row>
    <row r="24" spans="1:8" ht="15.75">
      <c r="A24" s="108"/>
    </row>
    <row r="25" spans="1:8" ht="15.75">
      <c r="A25" s="108"/>
      <c r="E25" s="108"/>
    </row>
    <row r="26" spans="1:8" ht="15.75">
      <c r="A26" s="108"/>
      <c r="E26" s="108"/>
    </row>
    <row r="27" spans="1:8" ht="15.75">
      <c r="A27" s="108"/>
      <c r="E27" s="108"/>
    </row>
    <row r="28" spans="1:8" ht="15.75">
      <c r="A28" s="108"/>
      <c r="E28" s="108"/>
    </row>
    <row r="29" spans="1:8" ht="15.75">
      <c r="A29" s="108"/>
    </row>
    <row r="30" spans="1:8" ht="15.75">
      <c r="A30" s="108"/>
      <c r="B30" s="108"/>
      <c r="C30" s="108"/>
      <c r="D30" s="108"/>
      <c r="E30" s="108"/>
    </row>
    <row r="31" spans="1:8" ht="15.75">
      <c r="A31" s="108"/>
    </row>
    <row r="32" spans="1:8" ht="15.75">
      <c r="A32" s="108"/>
      <c r="E32" s="108"/>
      <c r="F32" s="108"/>
      <c r="G32" s="108"/>
    </row>
    <row r="33" spans="1:7" ht="15.75">
      <c r="A33" s="108"/>
      <c r="E33" s="108"/>
      <c r="F33" s="108"/>
      <c r="G33" s="108"/>
    </row>
    <row r="34" spans="1:7" ht="15.75">
      <c r="A34" s="108"/>
      <c r="E34" s="108"/>
      <c r="F34" s="108"/>
      <c r="G34" s="108"/>
    </row>
    <row r="35" spans="1:7" ht="15.75">
      <c r="A35" s="108"/>
      <c r="B35" s="108"/>
      <c r="C35" s="108"/>
      <c r="D35" s="108"/>
      <c r="E35" s="108"/>
      <c r="F35" s="108"/>
      <c r="G35" s="108"/>
    </row>
    <row r="36" spans="1:7" ht="15.75">
      <c r="A36" s="108"/>
      <c r="B36" s="108"/>
      <c r="C36" s="108"/>
      <c r="D36" s="108"/>
      <c r="E36" s="108"/>
      <c r="F36" s="108"/>
      <c r="G36" s="108"/>
    </row>
    <row r="37" spans="1:7" ht="15.75">
      <c r="A37" s="108"/>
      <c r="B37" s="108"/>
      <c r="C37" s="108"/>
      <c r="D37" s="108"/>
      <c r="E37" s="108"/>
      <c r="F37" s="108"/>
      <c r="G37" s="108"/>
    </row>
    <row r="38" spans="1:7" ht="15.75">
      <c r="A38" s="108"/>
      <c r="B38" s="108"/>
      <c r="C38" s="108"/>
      <c r="D38" s="108"/>
      <c r="E38" s="108"/>
      <c r="F38" s="108"/>
      <c r="G38" s="108"/>
    </row>
    <row r="39" spans="1:7" ht="15.75">
      <c r="A39" s="108"/>
      <c r="B39" s="108"/>
      <c r="C39" s="108"/>
      <c r="D39" s="108"/>
      <c r="E39" s="108"/>
      <c r="F39" s="108"/>
      <c r="G39" s="108"/>
    </row>
    <row r="40" spans="1:7" ht="15.75">
      <c r="A40" s="108"/>
      <c r="B40" s="108"/>
      <c r="C40" s="108"/>
      <c r="D40" s="108"/>
      <c r="E40" s="108"/>
      <c r="F40" s="108"/>
      <c r="G40" s="108"/>
    </row>
    <row r="41" spans="1:7" ht="15.75">
      <c r="A41" s="108"/>
      <c r="B41" s="108"/>
      <c r="C41" s="108"/>
      <c r="D41" s="108"/>
      <c r="E41" s="108"/>
      <c r="F41" s="108"/>
      <c r="G41" s="108"/>
    </row>
    <row r="42" spans="1:7" ht="15.75">
      <c r="A42" s="108"/>
      <c r="B42" s="108"/>
      <c r="C42" s="108"/>
      <c r="D42" s="108"/>
      <c r="E42" s="108"/>
      <c r="F42" s="108"/>
      <c r="G42" s="108"/>
    </row>
    <row r="43" spans="1:7" ht="15.75">
      <c r="A43" s="108"/>
      <c r="B43" s="108"/>
      <c r="C43" s="108"/>
      <c r="D43" s="108"/>
      <c r="E43" s="108"/>
      <c r="F43" s="108"/>
      <c r="G43" s="108"/>
    </row>
    <row r="44" spans="1:7" ht="15.75">
      <c r="A44" s="108"/>
      <c r="B44" s="108"/>
      <c r="C44" s="108"/>
      <c r="D44" s="108"/>
      <c r="E44" s="108"/>
      <c r="F44" s="108"/>
      <c r="G44" s="108"/>
    </row>
    <row r="45" spans="1:7" ht="15.75">
      <c r="A45" s="108"/>
      <c r="B45" s="108"/>
      <c r="C45" s="108"/>
      <c r="D45" s="108"/>
      <c r="E45" s="108"/>
      <c r="F45" s="108"/>
      <c r="G45" s="108"/>
    </row>
    <row r="46" spans="1:7" ht="15.75">
      <c r="A46" s="108"/>
      <c r="B46" s="108"/>
      <c r="C46" s="108"/>
      <c r="D46" s="108"/>
      <c r="E46" s="108"/>
      <c r="F46" s="108"/>
      <c r="G46" s="108"/>
    </row>
    <row r="47" spans="1:7" ht="15.75">
      <c r="A47" s="108"/>
      <c r="B47" s="108"/>
      <c r="C47" s="108"/>
      <c r="D47" s="108"/>
      <c r="E47" s="108"/>
      <c r="F47" s="108"/>
      <c r="G47" s="108"/>
    </row>
    <row r="48" spans="1:7" ht="15.75">
      <c r="A48" s="108"/>
      <c r="B48" s="108"/>
      <c r="C48" s="108"/>
      <c r="D48" s="108"/>
      <c r="E48" s="108"/>
      <c r="F48" s="108"/>
      <c r="G48" s="108"/>
    </row>
    <row r="49" spans="1:7" ht="15.75">
      <c r="A49" s="108"/>
      <c r="B49" s="108"/>
      <c r="C49" s="108"/>
      <c r="D49" s="108"/>
      <c r="E49" s="108"/>
      <c r="F49" s="108"/>
      <c r="G49" s="108"/>
    </row>
    <row r="50" spans="1:7" ht="15.75">
      <c r="A50" s="108"/>
      <c r="B50" s="108"/>
      <c r="C50" s="108"/>
      <c r="D50" s="108"/>
      <c r="E50" s="108"/>
      <c r="F50" s="108"/>
      <c r="G50" s="108"/>
    </row>
    <row r="51" spans="1:7" ht="15.75">
      <c r="A51" s="108"/>
      <c r="B51" s="108"/>
      <c r="C51" s="108"/>
      <c r="D51" s="108"/>
      <c r="E51" s="108"/>
      <c r="F51" s="108"/>
      <c r="G51" s="108"/>
    </row>
    <row r="52" spans="1:7" ht="15.75">
      <c r="A52" s="108"/>
      <c r="B52" s="108"/>
      <c r="C52" s="108"/>
      <c r="D52" s="108"/>
      <c r="E52" s="108"/>
      <c r="F52" s="108"/>
      <c r="G52" s="108"/>
    </row>
    <row r="53" spans="1:7" ht="15.75">
      <c r="A53" s="108"/>
      <c r="B53" s="108"/>
      <c r="C53" s="108"/>
      <c r="D53" s="108"/>
      <c r="E53" s="108"/>
      <c r="F53" s="108"/>
      <c r="G53" s="108"/>
    </row>
    <row r="54" spans="1:7" ht="15.75">
      <c r="A54" s="108"/>
      <c r="B54" s="108"/>
      <c r="C54" s="108"/>
      <c r="D54" s="108"/>
      <c r="E54" s="108"/>
      <c r="F54" s="108"/>
      <c r="G54" s="108"/>
    </row>
    <row r="55" spans="1:7" ht="15.75">
      <c r="A55" s="108"/>
      <c r="B55" s="108"/>
      <c r="C55" s="108"/>
      <c r="D55" s="108"/>
      <c r="E55" s="108"/>
      <c r="F55" s="108"/>
      <c r="G55" s="108"/>
    </row>
    <row r="56" spans="1:7" ht="15.75">
      <c r="A56" s="108"/>
      <c r="B56" s="108"/>
      <c r="C56" s="108"/>
      <c r="D56" s="108"/>
      <c r="E56" s="108"/>
      <c r="F56" s="108"/>
      <c r="G56" s="108"/>
    </row>
    <row r="57" spans="1:7" ht="15.75">
      <c r="A57" s="108"/>
      <c r="B57" s="108"/>
      <c r="C57" s="108"/>
      <c r="D57" s="108"/>
      <c r="E57" s="108"/>
      <c r="F57" s="108"/>
      <c r="G57" s="108"/>
    </row>
    <row r="58" spans="1:7" ht="15.75">
      <c r="A58" s="108"/>
      <c r="B58" s="108"/>
      <c r="C58" s="108"/>
      <c r="D58" s="108"/>
      <c r="E58" s="108"/>
      <c r="F58" s="108"/>
      <c r="G58" s="108"/>
    </row>
    <row r="59" spans="1:7" ht="15.75">
      <c r="A59" s="108"/>
      <c r="B59" s="108"/>
      <c r="C59" s="108"/>
      <c r="D59" s="108"/>
      <c r="E59" s="108"/>
      <c r="F59" s="108"/>
      <c r="G59" s="108"/>
    </row>
    <row r="60" spans="1:7" ht="15.75">
      <c r="A60" s="108"/>
      <c r="B60" s="108"/>
      <c r="C60" s="108"/>
      <c r="D60" s="108"/>
      <c r="E60" s="108"/>
      <c r="F60" s="108"/>
      <c r="G60" s="108"/>
    </row>
    <row r="61" spans="1:7" ht="15.75">
      <c r="A61" s="108"/>
      <c r="B61" s="108"/>
      <c r="C61" s="108"/>
      <c r="D61" s="108"/>
      <c r="E61" s="108"/>
      <c r="F61" s="108"/>
      <c r="G61" s="108"/>
    </row>
    <row r="62" spans="1:7" ht="15.75">
      <c r="A62" s="108"/>
      <c r="B62" s="108"/>
      <c r="C62" s="108"/>
      <c r="D62" s="108"/>
      <c r="E62" s="108"/>
      <c r="F62" s="108"/>
      <c r="G62" s="108"/>
    </row>
    <row r="63" spans="1:7" ht="15.75">
      <c r="A63" s="108"/>
      <c r="B63" s="108"/>
      <c r="C63" s="108"/>
      <c r="D63" s="108"/>
      <c r="E63" s="108"/>
      <c r="F63" s="108"/>
      <c r="G63" s="108"/>
    </row>
    <row r="64" spans="1:7" ht="15.75">
      <c r="A64" s="108"/>
      <c r="B64" s="108"/>
      <c r="C64" s="108"/>
      <c r="D64" s="108"/>
      <c r="E64" s="108"/>
      <c r="F64" s="108"/>
      <c r="G64" s="108"/>
    </row>
    <row r="65" spans="1:7" ht="15.75">
      <c r="A65" s="108"/>
      <c r="B65" s="108"/>
      <c r="C65" s="108"/>
      <c r="D65" s="108"/>
      <c r="E65" s="108"/>
      <c r="F65" s="108"/>
      <c r="G65" s="108"/>
    </row>
    <row r="66" spans="1:7" ht="15.75">
      <c r="A66" s="108"/>
      <c r="B66" s="108"/>
      <c r="C66" s="108"/>
      <c r="D66" s="108"/>
      <c r="E66" s="108"/>
      <c r="F66" s="108"/>
      <c r="G66" s="108"/>
    </row>
    <row r="67" spans="1:7" ht="15.75">
      <c r="A67" s="108"/>
      <c r="B67" s="108"/>
      <c r="C67" s="108"/>
      <c r="D67" s="108"/>
      <c r="E67" s="108"/>
      <c r="F67" s="108"/>
      <c r="G67" s="108"/>
    </row>
    <row r="68" spans="1:7" ht="15.75">
      <c r="A68" s="108"/>
      <c r="B68" s="108"/>
      <c r="C68" s="108"/>
      <c r="D68" s="108"/>
      <c r="E68" s="108"/>
      <c r="F68" s="108"/>
      <c r="G68" s="108"/>
    </row>
    <row r="69" spans="1:7" ht="15.75">
      <c r="A69" s="108"/>
      <c r="B69" s="108"/>
      <c r="C69" s="108"/>
      <c r="D69" s="108"/>
      <c r="E69" s="108"/>
      <c r="F69" s="108"/>
      <c r="G69" s="108"/>
    </row>
    <row r="70" spans="1:7" ht="15.75">
      <c r="A70" s="108"/>
      <c r="B70" s="108"/>
      <c r="C70" s="108"/>
      <c r="D70" s="108"/>
      <c r="E70" s="108"/>
      <c r="F70" s="108"/>
      <c r="G70" s="108"/>
    </row>
    <row r="71" spans="1:7" ht="15.75">
      <c r="A71" s="108"/>
      <c r="B71" s="108"/>
      <c r="C71" s="108"/>
      <c r="D71" s="108"/>
      <c r="E71" s="108"/>
      <c r="F71" s="108"/>
      <c r="G71" s="108"/>
    </row>
    <row r="72" spans="1:7" ht="15.75">
      <c r="A72" s="108"/>
      <c r="B72" s="108"/>
      <c r="C72" s="108"/>
      <c r="D72" s="108"/>
      <c r="E72" s="108"/>
      <c r="F72" s="108"/>
      <c r="G72" s="108"/>
    </row>
    <row r="73" spans="1:7" ht="15.75">
      <c r="A73" s="108"/>
      <c r="B73" s="108"/>
      <c r="C73" s="108"/>
      <c r="D73" s="108"/>
      <c r="E73" s="108"/>
      <c r="F73" s="108"/>
      <c r="G73" s="108"/>
    </row>
    <row r="74" spans="1:7" ht="15.75">
      <c r="A74" s="108"/>
      <c r="B74" s="108"/>
      <c r="C74" s="108"/>
      <c r="D74" s="108"/>
      <c r="E74" s="108"/>
      <c r="F74" s="108"/>
      <c r="G74" s="108"/>
    </row>
    <row r="75" spans="1:7" ht="15.75">
      <c r="A75" s="108"/>
      <c r="B75" s="108"/>
      <c r="C75" s="108"/>
      <c r="D75" s="108"/>
      <c r="E75" s="108"/>
      <c r="F75" s="108"/>
      <c r="G75" s="108"/>
    </row>
    <row r="76" spans="1:7" ht="15.75">
      <c r="A76" s="108"/>
      <c r="B76" s="108"/>
      <c r="C76" s="108"/>
      <c r="D76" s="108"/>
      <c r="E76" s="108"/>
      <c r="F76" s="108"/>
      <c r="G76" s="108"/>
    </row>
    <row r="77" spans="1:7" ht="15.75">
      <c r="A77" s="108"/>
      <c r="B77" s="108"/>
      <c r="C77" s="108"/>
      <c r="D77" s="108"/>
      <c r="E77" s="108"/>
      <c r="F77" s="108"/>
      <c r="G77" s="108"/>
    </row>
    <row r="78" spans="1:7" ht="15.75">
      <c r="A78" s="108"/>
      <c r="B78" s="108"/>
      <c r="C78" s="108"/>
      <c r="D78" s="108"/>
      <c r="E78" s="108"/>
      <c r="F78" s="108"/>
      <c r="G78" s="108"/>
    </row>
    <row r="79" spans="1:7" ht="15.75">
      <c r="A79" s="108"/>
      <c r="B79" s="108"/>
      <c r="C79" s="108"/>
      <c r="D79" s="108"/>
      <c r="E79" s="108"/>
      <c r="F79" s="108"/>
      <c r="G79" s="108"/>
    </row>
    <row r="80" spans="1:7" ht="15.75">
      <c r="A80" s="108"/>
      <c r="B80" s="108"/>
      <c r="C80" s="108"/>
      <c r="D80" s="108"/>
      <c r="E80" s="108"/>
      <c r="F80" s="108"/>
      <c r="G80" s="108"/>
    </row>
    <row r="81" spans="1:7" ht="15.75">
      <c r="A81" s="108"/>
      <c r="B81" s="108"/>
      <c r="C81" s="108"/>
      <c r="D81" s="108"/>
      <c r="E81" s="108"/>
      <c r="F81" s="108"/>
      <c r="G81" s="108"/>
    </row>
    <row r="82" spans="1:7" ht="15.75">
      <c r="A82" s="108"/>
      <c r="B82" s="108"/>
      <c r="C82" s="108"/>
      <c r="D82" s="108"/>
      <c r="E82" s="108"/>
      <c r="F82" s="108"/>
      <c r="G82" s="108"/>
    </row>
    <row r="83" spans="1:7" ht="15.75">
      <c r="A83" s="108"/>
      <c r="B83" s="108"/>
      <c r="C83" s="108"/>
      <c r="D83" s="108"/>
      <c r="E83" s="108"/>
      <c r="F83" s="108"/>
      <c r="G83" s="108"/>
    </row>
    <row r="84" spans="1:7" ht="15.75">
      <c r="A84" s="108"/>
      <c r="B84" s="108"/>
      <c r="C84" s="108"/>
      <c r="D84" s="108"/>
      <c r="E84" s="108"/>
      <c r="F84" s="108"/>
      <c r="G84" s="108"/>
    </row>
    <row r="85" spans="1:7" ht="15.75">
      <c r="A85" s="108"/>
      <c r="B85" s="108"/>
      <c r="C85" s="108"/>
      <c r="D85" s="108"/>
      <c r="E85" s="108"/>
      <c r="F85" s="108"/>
      <c r="G85" s="108"/>
    </row>
    <row r="86" spans="1:7" ht="15.75">
      <c r="A86" s="108"/>
      <c r="B86" s="108"/>
      <c r="C86" s="108"/>
      <c r="D86" s="108"/>
      <c r="E86" s="108"/>
      <c r="F86" s="108"/>
      <c r="G86" s="108"/>
    </row>
    <row r="87" spans="1:7" ht="15.75">
      <c r="A87" s="108"/>
      <c r="B87" s="108"/>
      <c r="C87" s="108"/>
      <c r="D87" s="108"/>
      <c r="E87" s="108"/>
      <c r="F87" s="108"/>
      <c r="G87" s="108"/>
    </row>
    <row r="88" spans="1:7" ht="15.75">
      <c r="A88" s="108"/>
      <c r="B88" s="108"/>
      <c r="C88" s="108"/>
      <c r="D88" s="108"/>
      <c r="E88" s="108"/>
      <c r="F88" s="108"/>
      <c r="G88" s="108"/>
    </row>
    <row r="89" spans="1:7" ht="15.75">
      <c r="A89" s="108"/>
      <c r="B89" s="108"/>
      <c r="C89" s="108"/>
      <c r="D89" s="108"/>
      <c r="E89" s="108"/>
      <c r="F89" s="108"/>
      <c r="G89" s="108"/>
    </row>
    <row r="90" spans="1:7" ht="15.75">
      <c r="A90" s="108"/>
      <c r="B90" s="108"/>
      <c r="C90" s="108"/>
      <c r="D90" s="108"/>
      <c r="E90" s="108"/>
      <c r="F90" s="108"/>
      <c r="G90" s="108"/>
    </row>
    <row r="91" spans="1:7" ht="15.75">
      <c r="A91" s="108"/>
      <c r="B91" s="108"/>
      <c r="C91" s="108"/>
      <c r="D91" s="108"/>
      <c r="E91" s="108"/>
      <c r="F91" s="108"/>
      <c r="G91" s="108"/>
    </row>
    <row r="92" spans="1:7" ht="15.75">
      <c r="A92" s="108"/>
      <c r="B92" s="108"/>
      <c r="C92" s="108"/>
      <c r="D92" s="108"/>
      <c r="E92" s="108"/>
      <c r="F92" s="108"/>
      <c r="G92" s="108"/>
    </row>
    <row r="93" spans="1:7" ht="15.75">
      <c r="A93" s="108"/>
      <c r="B93" s="108"/>
      <c r="C93" s="108"/>
      <c r="D93" s="108"/>
      <c r="E93" s="108"/>
      <c r="F93" s="108"/>
      <c r="G93" s="108"/>
    </row>
    <row r="94" spans="1:7" ht="15.75">
      <c r="A94" s="108"/>
      <c r="B94" s="108"/>
      <c r="C94" s="108"/>
      <c r="D94" s="108"/>
      <c r="E94" s="108"/>
      <c r="F94" s="108"/>
      <c r="G94" s="108"/>
    </row>
    <row r="95" spans="1:7" ht="15.75">
      <c r="A95" s="108"/>
      <c r="B95" s="108"/>
      <c r="C95" s="108"/>
      <c r="D95" s="108"/>
      <c r="E95" s="108"/>
      <c r="F95" s="108"/>
      <c r="G95" s="108"/>
    </row>
    <row r="96" spans="1:7" ht="15.75">
      <c r="A96" s="108"/>
      <c r="B96" s="108"/>
      <c r="C96" s="108"/>
      <c r="D96" s="108"/>
      <c r="E96" s="108"/>
      <c r="F96" s="108"/>
      <c r="G96" s="108"/>
    </row>
    <row r="97" spans="1:7" ht="15.75">
      <c r="A97" s="108"/>
      <c r="B97" s="108"/>
      <c r="C97" s="108"/>
      <c r="D97" s="108"/>
      <c r="E97" s="108"/>
      <c r="F97" s="108"/>
      <c r="G97" s="108"/>
    </row>
    <row r="98" spans="1:7" ht="15.75">
      <c r="A98" s="108"/>
      <c r="B98" s="108"/>
      <c r="C98" s="108"/>
      <c r="D98" s="108"/>
      <c r="E98" s="108"/>
      <c r="F98" s="108"/>
      <c r="G98" s="108"/>
    </row>
    <row r="99" spans="1:7" ht="15.75">
      <c r="A99" s="108"/>
      <c r="B99" s="108"/>
      <c r="C99" s="108"/>
      <c r="D99" s="108"/>
      <c r="E99" s="108"/>
      <c r="F99" s="108"/>
      <c r="G99" s="108"/>
    </row>
    <row r="100" spans="1:7" ht="15.75">
      <c r="A100" s="108"/>
      <c r="B100" s="108"/>
      <c r="C100" s="108"/>
      <c r="D100" s="108"/>
      <c r="E100" s="108"/>
      <c r="F100" s="108"/>
      <c r="G100" s="108"/>
    </row>
    <row r="101" spans="1:7" ht="15.75">
      <c r="A101" s="108"/>
      <c r="B101" s="108"/>
      <c r="C101" s="108"/>
      <c r="D101" s="108"/>
      <c r="E101" s="108"/>
      <c r="F101" s="108"/>
      <c r="G101" s="108"/>
    </row>
    <row r="102" spans="1:7" ht="15.75">
      <c r="A102" s="108"/>
      <c r="B102" s="108"/>
      <c r="C102" s="108"/>
      <c r="D102" s="108"/>
      <c r="E102" s="108"/>
      <c r="F102" s="108"/>
      <c r="G102" s="108"/>
    </row>
    <row r="103" spans="1:7" ht="15.75">
      <c r="A103" s="108"/>
      <c r="B103" s="108"/>
      <c r="C103" s="108"/>
      <c r="D103" s="108"/>
      <c r="E103" s="108"/>
      <c r="F103" s="108"/>
      <c r="G103" s="108"/>
    </row>
    <row r="104" spans="1:7" ht="15.75">
      <c r="A104" s="108"/>
      <c r="B104" s="108"/>
      <c r="C104" s="108"/>
      <c r="D104" s="108"/>
      <c r="E104" s="108"/>
      <c r="F104" s="108"/>
      <c r="G104" s="108"/>
    </row>
    <row r="105" spans="1:7" ht="15.75">
      <c r="A105" s="108"/>
      <c r="B105" s="108"/>
      <c r="C105" s="108"/>
      <c r="D105" s="108"/>
      <c r="E105" s="108"/>
      <c r="F105" s="108"/>
      <c r="G105" s="108"/>
    </row>
    <row r="106" spans="1:7" ht="15.75">
      <c r="A106" s="108"/>
      <c r="B106" s="108"/>
      <c r="C106" s="108"/>
      <c r="D106" s="108"/>
      <c r="E106" s="108"/>
      <c r="F106" s="108"/>
      <c r="G106" s="108"/>
    </row>
    <row r="107" spans="1:7" ht="15.75">
      <c r="A107" s="108"/>
      <c r="B107" s="108"/>
      <c r="C107" s="108"/>
      <c r="D107" s="108"/>
      <c r="E107" s="108"/>
      <c r="F107" s="108"/>
      <c r="G107" s="108"/>
    </row>
    <row r="108" spans="1:7" ht="15.75">
      <c r="A108" s="108"/>
      <c r="B108" s="108"/>
      <c r="C108" s="108"/>
      <c r="D108" s="108"/>
      <c r="E108" s="108"/>
      <c r="F108" s="108"/>
      <c r="G108" s="108"/>
    </row>
    <row r="109" spans="1:7" ht="15.75">
      <c r="A109" s="108"/>
      <c r="B109" s="108"/>
      <c r="C109" s="108"/>
      <c r="D109" s="108"/>
      <c r="E109" s="108"/>
      <c r="F109" s="108"/>
      <c r="G109" s="108"/>
    </row>
    <row r="110" spans="1:7" ht="15.75">
      <c r="A110" s="108"/>
      <c r="B110" s="108"/>
      <c r="C110" s="108"/>
      <c r="D110" s="108"/>
      <c r="E110" s="108"/>
      <c r="F110" s="108"/>
      <c r="G110" s="108"/>
    </row>
    <row r="111" spans="1:7" ht="15.75">
      <c r="A111" s="108"/>
      <c r="B111" s="108"/>
      <c r="C111" s="108"/>
      <c r="D111" s="108"/>
      <c r="E111" s="108"/>
      <c r="F111" s="108"/>
      <c r="G111" s="108"/>
    </row>
    <row r="112" spans="1:7" ht="15.75">
      <c r="A112" s="108"/>
      <c r="B112" s="108"/>
      <c r="C112" s="108"/>
      <c r="D112" s="108"/>
      <c r="E112" s="108"/>
      <c r="F112" s="108"/>
      <c r="G112" s="108"/>
    </row>
    <row r="113" spans="1:7" ht="15.75">
      <c r="A113" s="108"/>
      <c r="B113" s="108"/>
      <c r="C113" s="108"/>
      <c r="D113" s="108"/>
      <c r="E113" s="108"/>
      <c r="F113" s="108"/>
      <c r="G113" s="108"/>
    </row>
    <row r="114" spans="1:7" ht="15.75">
      <c r="A114" s="108"/>
      <c r="B114" s="108"/>
      <c r="C114" s="108"/>
      <c r="D114" s="108"/>
      <c r="E114" s="108"/>
      <c r="F114" s="108"/>
      <c r="G114" s="108"/>
    </row>
    <row r="115" spans="1:7" ht="15.75">
      <c r="A115" s="108"/>
      <c r="B115" s="108"/>
      <c r="C115" s="108"/>
      <c r="D115" s="108"/>
      <c r="E115" s="108"/>
      <c r="F115" s="108"/>
      <c r="G115" s="108"/>
    </row>
    <row r="116" spans="1:7" ht="15.75">
      <c r="A116" s="108"/>
      <c r="B116" s="108"/>
      <c r="C116" s="108"/>
      <c r="D116" s="108"/>
      <c r="E116" s="108"/>
      <c r="F116" s="108"/>
      <c r="G116" s="108"/>
    </row>
    <row r="117" spans="1:7" ht="15.75">
      <c r="A117" s="108"/>
      <c r="B117" s="108"/>
      <c r="C117" s="108"/>
      <c r="D117" s="108"/>
      <c r="E117" s="108"/>
      <c r="F117" s="108"/>
      <c r="G117" s="108"/>
    </row>
    <row r="118" spans="1:7" ht="15.75">
      <c r="A118" s="108"/>
      <c r="B118" s="108"/>
      <c r="C118" s="108"/>
      <c r="D118" s="108"/>
      <c r="E118" s="108"/>
      <c r="F118" s="108"/>
      <c r="G118" s="108"/>
    </row>
    <row r="119" spans="1:7" ht="15.75">
      <c r="A119" s="108"/>
      <c r="B119" s="108"/>
      <c r="C119" s="108"/>
      <c r="D119" s="108"/>
      <c r="E119" s="108"/>
      <c r="F119" s="108"/>
      <c r="G119" s="108"/>
    </row>
    <row r="120" spans="1:7" ht="15.75">
      <c r="A120" s="108"/>
      <c r="B120" s="108"/>
      <c r="C120" s="108"/>
      <c r="D120" s="108"/>
      <c r="E120" s="108"/>
      <c r="F120" s="108"/>
      <c r="G120" s="108"/>
    </row>
    <row r="121" spans="1:7" ht="15.75">
      <c r="A121" s="108"/>
      <c r="B121" s="108"/>
      <c r="C121" s="108"/>
      <c r="D121" s="108"/>
      <c r="E121" s="108"/>
      <c r="F121" s="108"/>
      <c r="G121" s="108"/>
    </row>
    <row r="122" spans="1:7" ht="15.75">
      <c r="A122" s="108"/>
      <c r="B122" s="108"/>
      <c r="C122" s="108"/>
      <c r="D122" s="108"/>
      <c r="E122" s="108"/>
      <c r="F122" s="108"/>
      <c r="G122" s="108"/>
    </row>
    <row r="123" spans="1:7" ht="15.75">
      <c r="A123" s="108"/>
      <c r="B123" s="108"/>
      <c r="C123" s="108"/>
      <c r="D123" s="108"/>
      <c r="E123" s="108"/>
      <c r="F123" s="108"/>
      <c r="G123" s="108"/>
    </row>
    <row r="124" spans="1:7" ht="15.75">
      <c r="A124" s="108"/>
      <c r="B124" s="108"/>
      <c r="C124" s="108"/>
      <c r="D124" s="108"/>
      <c r="E124" s="108"/>
      <c r="F124" s="108"/>
      <c r="G124" s="108"/>
    </row>
    <row r="125" spans="1:7" ht="15.75">
      <c r="A125" s="108"/>
      <c r="B125" s="108"/>
      <c r="C125" s="108"/>
      <c r="D125" s="108"/>
      <c r="E125" s="108"/>
      <c r="F125" s="108"/>
      <c r="G125" s="108"/>
    </row>
    <row r="126" spans="1:7" ht="15.75">
      <c r="A126" s="108"/>
      <c r="B126" s="108"/>
      <c r="C126" s="108"/>
      <c r="D126" s="108"/>
      <c r="E126" s="108"/>
      <c r="F126" s="108"/>
      <c r="G126" s="108"/>
    </row>
    <row r="127" spans="1:7" ht="15.75">
      <c r="A127" s="108"/>
      <c r="B127" s="108"/>
      <c r="C127" s="108"/>
      <c r="D127" s="108"/>
      <c r="E127" s="108"/>
      <c r="F127" s="108"/>
      <c r="G127" s="108"/>
    </row>
    <row r="128" spans="1:7" ht="15.75">
      <c r="A128" s="108"/>
      <c r="B128" s="108"/>
      <c r="C128" s="108"/>
      <c r="D128" s="108"/>
      <c r="E128" s="108"/>
      <c r="F128" s="108"/>
      <c r="G128" s="108"/>
    </row>
    <row r="129" spans="1:7" ht="15.75">
      <c r="A129" s="108"/>
      <c r="B129" s="108"/>
      <c r="C129" s="108"/>
      <c r="D129" s="108"/>
      <c r="E129" s="108"/>
      <c r="F129" s="108"/>
      <c r="G129" s="108"/>
    </row>
    <row r="130" spans="1:7" ht="15.75">
      <c r="A130" s="108"/>
      <c r="B130" s="108"/>
      <c r="C130" s="108"/>
      <c r="D130" s="108"/>
      <c r="E130" s="108"/>
      <c r="F130" s="108"/>
      <c r="G130" s="108"/>
    </row>
    <row r="131" spans="1:7" ht="15.75">
      <c r="A131" s="108"/>
      <c r="B131" s="108"/>
      <c r="C131" s="108"/>
      <c r="D131" s="108"/>
      <c r="E131" s="108"/>
      <c r="F131" s="108"/>
      <c r="G131" s="108"/>
    </row>
    <row r="132" spans="1:7" ht="15.75">
      <c r="A132" s="108"/>
      <c r="B132" s="108"/>
      <c r="C132" s="108"/>
      <c r="D132" s="108"/>
      <c r="E132" s="108"/>
      <c r="F132" s="108"/>
      <c r="G132" s="108"/>
    </row>
    <row r="133" spans="1:7" ht="15.75">
      <c r="A133" s="108"/>
      <c r="B133" s="108"/>
      <c r="C133" s="108"/>
      <c r="D133" s="108"/>
      <c r="E133" s="108"/>
      <c r="F133" s="108"/>
      <c r="G133" s="108"/>
    </row>
    <row r="134" spans="1:7" ht="15.75">
      <c r="A134" s="108"/>
      <c r="B134" s="108"/>
      <c r="C134" s="108"/>
      <c r="D134" s="108"/>
      <c r="E134" s="108"/>
      <c r="F134" s="108"/>
      <c r="G134" s="108"/>
    </row>
    <row r="135" spans="1:7" ht="15.75">
      <c r="A135" s="108"/>
      <c r="B135" s="108"/>
      <c r="C135" s="108"/>
      <c r="D135" s="108"/>
      <c r="E135" s="108"/>
      <c r="F135" s="108"/>
      <c r="G135" s="108"/>
    </row>
    <row r="136" spans="1:7" ht="15.75">
      <c r="A136" s="108"/>
      <c r="B136" s="108"/>
      <c r="C136" s="108"/>
      <c r="D136" s="108"/>
      <c r="E136" s="108"/>
      <c r="F136" s="108"/>
      <c r="G136" s="108"/>
    </row>
    <row r="137" spans="1:7" ht="15.75">
      <c r="A137" s="108"/>
      <c r="B137" s="108"/>
      <c r="C137" s="108"/>
      <c r="D137" s="108"/>
      <c r="E137" s="108"/>
      <c r="F137" s="108"/>
      <c r="G137" s="108"/>
    </row>
    <row r="138" spans="1:7" ht="15.75">
      <c r="A138" s="108"/>
      <c r="B138" s="108"/>
      <c r="C138" s="108"/>
      <c r="D138" s="108"/>
      <c r="E138" s="108"/>
      <c r="F138" s="108"/>
      <c r="G138" s="108"/>
    </row>
    <row r="139" spans="1:7" ht="15.75">
      <c r="A139" s="108"/>
      <c r="B139" s="108"/>
      <c r="C139" s="108"/>
      <c r="D139" s="108"/>
      <c r="E139" s="108"/>
      <c r="F139" s="108"/>
      <c r="G139" s="108"/>
    </row>
    <row r="140" spans="1:7" ht="15.75">
      <c r="A140" s="108"/>
      <c r="B140" s="108"/>
      <c r="C140" s="108"/>
      <c r="D140" s="108"/>
      <c r="E140" s="108"/>
      <c r="F140" s="108"/>
      <c r="G140" s="108"/>
    </row>
    <row r="141" spans="1:7" ht="15.75">
      <c r="A141" s="108"/>
      <c r="B141" s="108"/>
      <c r="C141" s="108"/>
      <c r="D141" s="108"/>
      <c r="E141" s="108"/>
      <c r="F141" s="108"/>
      <c r="G141" s="108"/>
    </row>
    <row r="142" spans="1:7" ht="15.75">
      <c r="A142" s="108"/>
      <c r="B142" s="108"/>
      <c r="C142" s="108"/>
      <c r="D142" s="108"/>
      <c r="E142" s="108"/>
      <c r="F142" s="108"/>
      <c r="G142" s="108"/>
    </row>
    <row r="143" spans="1:7" ht="15.75">
      <c r="A143" s="108"/>
      <c r="B143" s="108"/>
      <c r="C143" s="108"/>
      <c r="D143" s="108"/>
      <c r="E143" s="108"/>
      <c r="F143" s="108"/>
      <c r="G143" s="108"/>
    </row>
    <row r="144" spans="1:7" ht="15.75">
      <c r="A144" s="108"/>
      <c r="B144" s="108"/>
      <c r="C144" s="108"/>
      <c r="D144" s="108"/>
      <c r="E144" s="108"/>
      <c r="F144" s="108"/>
      <c r="G144" s="108"/>
    </row>
    <row r="145" spans="1:7" ht="15.75">
      <c r="A145" s="108"/>
      <c r="B145" s="108"/>
      <c r="C145" s="108"/>
      <c r="D145" s="108"/>
      <c r="E145" s="108"/>
      <c r="F145" s="108"/>
      <c r="G145" s="108"/>
    </row>
    <row r="146" spans="1:7" ht="15.75">
      <c r="A146" s="108"/>
      <c r="B146" s="108"/>
      <c r="C146" s="108"/>
      <c r="D146" s="108"/>
      <c r="E146" s="108"/>
      <c r="F146" s="108"/>
      <c r="G146" s="108"/>
    </row>
    <row r="147" spans="1:7" ht="15.75">
      <c r="A147" s="108"/>
      <c r="B147" s="108"/>
      <c r="C147" s="108"/>
      <c r="D147" s="108"/>
      <c r="E147" s="108"/>
      <c r="F147" s="108"/>
      <c r="G147" s="108"/>
    </row>
    <row r="148" spans="1:7" ht="15.75">
      <c r="A148" s="108"/>
      <c r="B148" s="108"/>
      <c r="C148" s="108"/>
      <c r="D148" s="108"/>
      <c r="E148" s="108"/>
      <c r="F148" s="108"/>
      <c r="G148" s="108"/>
    </row>
    <row r="149" spans="1:7" ht="15.75">
      <c r="A149" s="108"/>
      <c r="B149" s="108"/>
      <c r="C149" s="108"/>
      <c r="D149" s="108"/>
      <c r="E149" s="108"/>
      <c r="F149" s="108"/>
      <c r="G149" s="108"/>
    </row>
    <row r="150" spans="1:7" ht="15.75">
      <c r="A150" s="108"/>
      <c r="B150" s="108"/>
      <c r="C150" s="108"/>
      <c r="D150" s="108"/>
      <c r="E150" s="108"/>
      <c r="F150" s="108"/>
      <c r="G150" s="108"/>
    </row>
    <row r="151" spans="1:7" ht="15.75">
      <c r="A151" s="108"/>
      <c r="B151" s="108"/>
      <c r="C151" s="108"/>
      <c r="D151" s="108"/>
      <c r="E151" s="108"/>
      <c r="F151" s="108"/>
      <c r="G151" s="108"/>
    </row>
    <row r="152" spans="1:7" ht="15.75">
      <c r="A152" s="108"/>
      <c r="B152" s="108"/>
      <c r="C152" s="108"/>
      <c r="D152" s="108"/>
      <c r="E152" s="108"/>
      <c r="F152" s="108"/>
      <c r="G152" s="108"/>
    </row>
    <row r="153" spans="1:7" ht="15.75">
      <c r="A153" s="108"/>
      <c r="B153" s="108"/>
      <c r="C153" s="108"/>
      <c r="D153" s="108"/>
      <c r="E153" s="108"/>
      <c r="F153" s="108"/>
      <c r="G153" s="108"/>
    </row>
    <row r="154" spans="1:7" ht="15.75">
      <c r="A154" s="108"/>
      <c r="B154" s="108"/>
      <c r="C154" s="108"/>
      <c r="D154" s="108"/>
      <c r="E154" s="108"/>
      <c r="F154" s="108"/>
      <c r="G154" s="108"/>
    </row>
    <row r="155" spans="1:7" ht="15.75">
      <c r="A155" s="108"/>
      <c r="B155" s="108"/>
      <c r="C155" s="108"/>
      <c r="D155" s="108"/>
      <c r="E155" s="108"/>
      <c r="F155" s="108"/>
      <c r="G155" s="108"/>
    </row>
    <row r="156" spans="1:7" ht="15.75">
      <c r="A156" s="108"/>
      <c r="B156" s="108"/>
      <c r="C156" s="108"/>
      <c r="D156" s="108"/>
      <c r="E156" s="108"/>
      <c r="F156" s="108"/>
      <c r="G156" s="108"/>
    </row>
    <row r="157" spans="1:7" ht="15.75">
      <c r="A157" s="108"/>
      <c r="B157" s="108"/>
      <c r="C157" s="108"/>
      <c r="D157" s="108"/>
      <c r="E157" s="108"/>
      <c r="F157" s="108"/>
      <c r="G157" s="108"/>
    </row>
    <row r="158" spans="1:7" ht="15.75">
      <c r="A158" s="108"/>
      <c r="B158" s="108"/>
      <c r="C158" s="108"/>
      <c r="D158" s="108"/>
      <c r="E158" s="108"/>
      <c r="F158" s="108"/>
      <c r="G158" s="108"/>
    </row>
    <row r="159" spans="1:7" ht="15.75">
      <c r="A159" s="108"/>
      <c r="B159" s="108"/>
      <c r="C159" s="108"/>
      <c r="D159" s="108"/>
      <c r="E159" s="108"/>
      <c r="F159" s="108"/>
      <c r="G159" s="108"/>
    </row>
    <row r="160" spans="1:7" ht="15.75">
      <c r="A160" s="108"/>
      <c r="B160" s="108"/>
      <c r="C160" s="108"/>
      <c r="D160" s="108"/>
      <c r="E160" s="108"/>
      <c r="F160" s="108"/>
      <c r="G160" s="108"/>
    </row>
    <row r="161" spans="1:7" ht="15.75">
      <c r="A161" s="108"/>
      <c r="B161" s="108"/>
      <c r="C161" s="108"/>
      <c r="D161" s="108"/>
      <c r="E161" s="108"/>
      <c r="F161" s="108"/>
      <c r="G161" s="108"/>
    </row>
    <row r="162" spans="1:7" ht="15.75">
      <c r="A162" s="108"/>
      <c r="B162" s="108"/>
      <c r="C162" s="108"/>
      <c r="D162" s="108"/>
      <c r="E162" s="108"/>
      <c r="F162" s="108"/>
      <c r="G162" s="108"/>
    </row>
    <row r="163" spans="1:7" ht="15.75">
      <c r="A163" s="108"/>
      <c r="B163" s="108"/>
      <c r="C163" s="108"/>
      <c r="D163" s="108"/>
      <c r="E163" s="108"/>
      <c r="F163" s="108"/>
      <c r="G163" s="108"/>
    </row>
    <row r="164" spans="1:7" ht="15.75">
      <c r="A164" s="108"/>
      <c r="B164" s="108"/>
      <c r="C164" s="108"/>
      <c r="D164" s="108"/>
      <c r="E164" s="108"/>
      <c r="F164" s="108"/>
      <c r="G164" s="108"/>
    </row>
    <row r="165" spans="1:7" ht="15.75">
      <c r="A165" s="108"/>
      <c r="B165" s="108"/>
      <c r="C165" s="108"/>
      <c r="D165" s="108"/>
      <c r="E165" s="108"/>
      <c r="F165" s="108"/>
      <c r="G165" s="108"/>
    </row>
    <row r="166" spans="1:7" ht="15.75">
      <c r="A166" s="108"/>
      <c r="B166" s="108"/>
      <c r="C166" s="108"/>
      <c r="D166" s="108"/>
      <c r="E166" s="108"/>
      <c r="F166" s="108"/>
      <c r="G166" s="108"/>
    </row>
    <row r="167" spans="1:7" ht="15.75">
      <c r="A167" s="108"/>
      <c r="B167" s="108"/>
      <c r="C167" s="108"/>
      <c r="D167" s="108"/>
      <c r="E167" s="108"/>
      <c r="F167" s="108"/>
      <c r="G167" s="108"/>
    </row>
    <row r="168" spans="1:7" ht="15.75">
      <c r="A168" s="108"/>
      <c r="B168" s="108"/>
      <c r="C168" s="108"/>
      <c r="D168" s="108"/>
      <c r="E168" s="108"/>
      <c r="F168" s="108"/>
      <c r="G168" s="108"/>
    </row>
    <row r="169" spans="1:7" ht="15.75">
      <c r="A169" s="108"/>
      <c r="B169" s="108"/>
      <c r="C169" s="108"/>
      <c r="D169" s="108"/>
      <c r="E169" s="108"/>
      <c r="F169" s="108"/>
      <c r="G169" s="108"/>
    </row>
    <row r="170" spans="1:7" ht="15.75">
      <c r="A170" s="108"/>
      <c r="B170" s="108"/>
      <c r="C170" s="108"/>
      <c r="D170" s="108"/>
      <c r="E170" s="108"/>
      <c r="F170" s="108"/>
      <c r="G170" s="108"/>
    </row>
    <row r="171" spans="1:7" ht="15.75">
      <c r="A171" s="108"/>
      <c r="B171" s="108"/>
      <c r="C171" s="108"/>
      <c r="D171" s="108"/>
      <c r="E171" s="108"/>
      <c r="F171" s="108"/>
      <c r="G171" s="108"/>
    </row>
    <row r="172" spans="1:7" ht="15.75">
      <c r="A172" s="108"/>
      <c r="B172" s="108"/>
      <c r="C172" s="108"/>
      <c r="D172" s="108"/>
      <c r="E172" s="108"/>
      <c r="F172" s="108"/>
      <c r="G172" s="108"/>
    </row>
    <row r="173" spans="1:7" ht="15.75">
      <c r="A173" s="108"/>
      <c r="B173" s="108"/>
      <c r="C173" s="108"/>
      <c r="D173" s="108"/>
      <c r="E173" s="108"/>
      <c r="F173" s="108"/>
      <c r="G173" s="108"/>
    </row>
    <row r="174" spans="1:7" ht="15.75">
      <c r="A174" s="108"/>
      <c r="B174" s="108"/>
      <c r="C174" s="108"/>
      <c r="D174" s="108"/>
      <c r="E174" s="108"/>
      <c r="F174" s="108"/>
      <c r="G174" s="108"/>
    </row>
    <row r="175" spans="1:7" ht="15.75">
      <c r="A175" s="108"/>
      <c r="B175" s="108"/>
      <c r="C175" s="108"/>
      <c r="D175" s="108"/>
      <c r="E175" s="108"/>
      <c r="F175" s="108"/>
      <c r="G175" s="108"/>
    </row>
    <row r="176" spans="1:7" ht="15.75">
      <c r="A176" s="108"/>
      <c r="B176" s="108"/>
      <c r="C176" s="108"/>
      <c r="D176" s="108"/>
      <c r="E176" s="108"/>
      <c r="F176" s="108"/>
      <c r="G176" s="108"/>
    </row>
    <row r="177" spans="1:7" ht="15.75">
      <c r="A177" s="108"/>
      <c r="B177" s="108"/>
      <c r="C177" s="108"/>
      <c r="D177" s="108"/>
      <c r="E177" s="108"/>
      <c r="F177" s="108"/>
      <c r="G177" s="108"/>
    </row>
    <row r="178" spans="1:7" ht="15.75">
      <c r="A178" s="108"/>
      <c r="B178" s="108"/>
      <c r="C178" s="108"/>
      <c r="D178" s="108"/>
      <c r="E178" s="108"/>
      <c r="F178" s="108"/>
      <c r="G178" s="108"/>
    </row>
    <row r="179" spans="1:7" ht="15.75">
      <c r="A179" s="108"/>
      <c r="B179" s="108"/>
      <c r="C179" s="108"/>
      <c r="D179" s="108"/>
      <c r="E179" s="108"/>
      <c r="F179" s="108"/>
      <c r="G179" s="108"/>
    </row>
    <row r="180" spans="1:7" ht="15.75">
      <c r="A180" s="108"/>
      <c r="B180" s="108"/>
      <c r="C180" s="108"/>
      <c r="D180" s="108"/>
      <c r="E180" s="108"/>
      <c r="F180" s="108"/>
      <c r="G180" s="108"/>
    </row>
    <row r="181" spans="1:7" ht="15.75">
      <c r="A181" s="108"/>
      <c r="B181" s="108"/>
      <c r="C181" s="108"/>
      <c r="D181" s="108"/>
      <c r="E181" s="108"/>
      <c r="F181" s="108"/>
      <c r="G181" s="108"/>
    </row>
    <row r="182" spans="1:7" ht="15.75">
      <c r="A182" s="108"/>
      <c r="B182" s="108"/>
      <c r="C182" s="108"/>
      <c r="D182" s="108"/>
      <c r="E182" s="108"/>
      <c r="F182" s="108"/>
      <c r="G182" s="108"/>
    </row>
    <row r="183" spans="1:7" ht="15.75">
      <c r="A183" s="108"/>
      <c r="B183" s="108"/>
      <c r="C183" s="108"/>
      <c r="D183" s="108"/>
      <c r="E183" s="108"/>
      <c r="F183" s="108"/>
      <c r="G183" s="108"/>
    </row>
    <row r="184" spans="1:7" ht="15.75">
      <c r="A184" s="108"/>
      <c r="B184" s="108"/>
      <c r="C184" s="108"/>
      <c r="D184" s="108"/>
      <c r="E184" s="108"/>
      <c r="F184" s="108"/>
      <c r="G184" s="108"/>
    </row>
    <row r="185" spans="1:7" ht="15.75">
      <c r="A185" s="108"/>
      <c r="B185" s="108"/>
      <c r="C185" s="108"/>
      <c r="D185" s="108"/>
      <c r="E185" s="108"/>
      <c r="F185" s="108"/>
      <c r="G185" s="108"/>
    </row>
    <row r="186" spans="1:7" ht="15.75">
      <c r="A186" s="108"/>
      <c r="B186" s="108"/>
      <c r="C186" s="108"/>
      <c r="D186" s="108"/>
      <c r="E186" s="108"/>
      <c r="F186" s="108"/>
      <c r="G186" s="108"/>
    </row>
    <row r="187" spans="1:7" ht="15.75">
      <c r="A187" s="108"/>
      <c r="B187" s="108"/>
      <c r="C187" s="108"/>
      <c r="D187" s="108"/>
      <c r="E187" s="108"/>
      <c r="F187" s="108"/>
      <c r="G187" s="108"/>
    </row>
    <row r="188" spans="1:7" ht="15.75">
      <c r="A188" s="108"/>
      <c r="B188" s="108"/>
      <c r="C188" s="108"/>
      <c r="D188" s="108"/>
      <c r="E188" s="108"/>
      <c r="F188" s="108"/>
      <c r="G188" s="108"/>
    </row>
    <row r="189" spans="1:7" ht="15.75">
      <c r="A189" s="108"/>
      <c r="B189" s="108"/>
      <c r="C189" s="108"/>
      <c r="D189" s="108"/>
      <c r="E189" s="108"/>
      <c r="F189" s="108"/>
      <c r="G189" s="108"/>
    </row>
    <row r="190" spans="1:7" ht="15.75">
      <c r="A190" s="108"/>
      <c r="B190" s="108"/>
      <c r="C190" s="108"/>
      <c r="D190" s="108"/>
      <c r="E190" s="108"/>
      <c r="F190" s="108"/>
      <c r="G190" s="108"/>
    </row>
    <row r="191" spans="1:7" ht="15.75">
      <c r="A191" s="108"/>
      <c r="B191" s="108"/>
      <c r="C191" s="108"/>
      <c r="D191" s="108"/>
      <c r="E191" s="108"/>
      <c r="F191" s="108"/>
      <c r="G191" s="108"/>
    </row>
    <row r="192" spans="1:7" ht="15.75">
      <c r="A192" s="108"/>
      <c r="B192" s="108"/>
      <c r="C192" s="108"/>
      <c r="D192" s="108"/>
      <c r="E192" s="108"/>
      <c r="F192" s="108"/>
      <c r="G192" s="108"/>
    </row>
    <row r="193" spans="1:7" ht="15.75">
      <c r="A193" s="108"/>
      <c r="B193" s="108"/>
      <c r="C193" s="108"/>
      <c r="D193" s="108"/>
      <c r="E193" s="108"/>
      <c r="F193" s="108"/>
      <c r="G193" s="108"/>
    </row>
    <row r="194" spans="1:7" ht="15.75">
      <c r="A194" s="108"/>
      <c r="B194" s="108"/>
      <c r="C194" s="108"/>
      <c r="D194" s="108"/>
      <c r="E194" s="108"/>
      <c r="F194" s="108"/>
      <c r="G194" s="108"/>
    </row>
    <row r="195" spans="1:7" ht="15.75">
      <c r="A195" s="108"/>
      <c r="B195" s="108"/>
      <c r="C195" s="108"/>
      <c r="D195" s="108"/>
      <c r="E195" s="108"/>
      <c r="F195" s="108"/>
      <c r="G195" s="108"/>
    </row>
    <row r="196" spans="1:7" ht="15.75">
      <c r="A196" s="108"/>
      <c r="B196" s="108"/>
      <c r="C196" s="108"/>
      <c r="D196" s="108"/>
      <c r="E196" s="108"/>
      <c r="F196" s="108"/>
      <c r="G196" s="108"/>
    </row>
    <row r="197" spans="1:7" ht="15.75">
      <c r="A197" s="108"/>
      <c r="B197" s="108"/>
      <c r="C197" s="108"/>
      <c r="D197" s="108"/>
      <c r="E197" s="108"/>
      <c r="F197" s="108"/>
      <c r="G197" s="108"/>
    </row>
    <row r="198" spans="1:7" ht="15.75">
      <c r="A198" s="108"/>
      <c r="B198" s="108"/>
      <c r="C198" s="108"/>
      <c r="D198" s="108"/>
      <c r="E198" s="108"/>
      <c r="F198" s="108"/>
      <c r="G198" s="108"/>
    </row>
    <row r="199" spans="1:7" ht="15.75">
      <c r="A199" s="108"/>
      <c r="B199" s="108"/>
      <c r="C199" s="108"/>
      <c r="D199" s="108"/>
      <c r="E199" s="108"/>
      <c r="F199" s="108"/>
      <c r="G199" s="108"/>
    </row>
    <row r="200" spans="1:7" ht="15.75">
      <c r="A200" s="108"/>
      <c r="B200" s="108"/>
      <c r="C200" s="108"/>
      <c r="D200" s="108"/>
      <c r="E200" s="108"/>
      <c r="F200" s="108"/>
      <c r="G200" s="108"/>
    </row>
    <row r="201" spans="1:7" ht="15.75">
      <c r="A201" s="108"/>
      <c r="B201" s="108"/>
      <c r="C201" s="108"/>
      <c r="D201" s="108"/>
      <c r="E201" s="108"/>
      <c r="F201" s="108"/>
      <c r="G201" s="108"/>
    </row>
    <row r="202" spans="1:7" ht="15.75">
      <c r="A202" s="108"/>
      <c r="B202" s="108"/>
      <c r="C202" s="108"/>
      <c r="D202" s="108"/>
      <c r="E202" s="108"/>
      <c r="F202" s="108"/>
      <c r="G202" s="108"/>
    </row>
    <row r="203" spans="1:7" ht="15.75">
      <c r="A203" s="108"/>
      <c r="B203" s="108"/>
      <c r="C203" s="108"/>
      <c r="D203" s="108"/>
      <c r="E203" s="108"/>
      <c r="F203" s="108"/>
      <c r="G203" s="108"/>
    </row>
    <row r="204" spans="1:7" ht="15.75">
      <c r="A204" s="108"/>
      <c r="B204" s="108"/>
      <c r="C204" s="108"/>
      <c r="D204" s="108"/>
      <c r="E204" s="108"/>
      <c r="F204" s="108"/>
      <c r="G204" s="108"/>
    </row>
    <row r="205" spans="1:7" ht="15.75">
      <c r="A205" s="108"/>
      <c r="B205" s="108"/>
      <c r="C205" s="108"/>
      <c r="D205" s="108"/>
      <c r="E205" s="108"/>
      <c r="F205" s="108"/>
      <c r="G205" s="108"/>
    </row>
    <row r="206" spans="1:7" ht="15.75">
      <c r="A206" s="108"/>
      <c r="B206" s="108"/>
      <c r="C206" s="108"/>
      <c r="D206" s="108"/>
      <c r="E206" s="108"/>
      <c r="F206" s="108"/>
      <c r="G206" s="108"/>
    </row>
    <row r="207" spans="1:7" ht="15.75">
      <c r="A207" s="108"/>
      <c r="B207" s="108"/>
      <c r="C207" s="108"/>
      <c r="D207" s="108"/>
      <c r="E207" s="108"/>
      <c r="F207" s="108"/>
      <c r="G207" s="108"/>
    </row>
    <row r="208" spans="1:7" ht="15.75">
      <c r="A208" s="108"/>
      <c r="B208" s="108"/>
      <c r="C208" s="108"/>
      <c r="D208" s="108"/>
      <c r="E208" s="108"/>
      <c r="F208" s="108"/>
      <c r="G208" s="108"/>
    </row>
    <row r="209" spans="1:7" ht="15.75">
      <c r="A209" s="108"/>
      <c r="B209" s="108"/>
      <c r="C209" s="108"/>
      <c r="D209" s="108"/>
      <c r="E209" s="108"/>
      <c r="F209" s="108"/>
      <c r="G209" s="108"/>
    </row>
    <row r="210" spans="1:7" ht="15.75">
      <c r="A210" s="108"/>
      <c r="B210" s="108"/>
      <c r="C210" s="108"/>
      <c r="D210" s="108"/>
      <c r="E210" s="108"/>
      <c r="F210" s="108"/>
      <c r="G210" s="108"/>
    </row>
    <row r="211" spans="1:7" ht="15.75">
      <c r="A211" s="108"/>
      <c r="B211" s="108"/>
      <c r="C211" s="108"/>
      <c r="D211" s="108"/>
      <c r="E211" s="108"/>
      <c r="F211" s="108"/>
      <c r="G211" s="108"/>
    </row>
    <row r="212" spans="1:7" ht="15.75">
      <c r="A212" s="108"/>
      <c r="B212" s="108"/>
      <c r="C212" s="108"/>
      <c r="D212" s="108"/>
      <c r="E212" s="108"/>
      <c r="F212" s="108"/>
      <c r="G212" s="108"/>
    </row>
    <row r="213" spans="1:7" ht="15.75">
      <c r="A213" s="108"/>
      <c r="B213" s="108"/>
      <c r="C213" s="108"/>
      <c r="D213" s="108"/>
      <c r="E213" s="108"/>
      <c r="F213" s="108"/>
      <c r="G213" s="108"/>
    </row>
    <row r="214" spans="1:7" ht="15.75">
      <c r="A214" s="108"/>
      <c r="B214" s="108"/>
      <c r="C214" s="108"/>
      <c r="D214" s="108"/>
      <c r="E214" s="108"/>
      <c r="F214" s="108"/>
      <c r="G214" s="108"/>
    </row>
    <row r="215" spans="1:7" ht="15.75">
      <c r="A215" s="108"/>
      <c r="B215" s="108"/>
      <c r="C215" s="108"/>
      <c r="D215" s="108"/>
      <c r="E215" s="108"/>
      <c r="F215" s="108"/>
      <c r="G215" s="108"/>
    </row>
    <row r="216" spans="1:7" ht="15.75">
      <c r="A216" s="108"/>
      <c r="B216" s="108"/>
      <c r="C216" s="108"/>
      <c r="D216" s="108"/>
      <c r="E216" s="108"/>
      <c r="F216" s="108"/>
      <c r="G216" s="108"/>
    </row>
    <row r="217" spans="1:7" ht="15.75">
      <c r="A217" s="108"/>
      <c r="B217" s="108"/>
      <c r="C217" s="108"/>
      <c r="D217" s="108"/>
      <c r="E217" s="108"/>
      <c r="F217" s="108"/>
      <c r="G217" s="108"/>
    </row>
    <row r="218" spans="1:7" ht="15.75">
      <c r="A218" s="108"/>
      <c r="B218" s="108"/>
      <c r="C218" s="108"/>
      <c r="D218" s="108"/>
      <c r="E218" s="108"/>
      <c r="F218" s="108"/>
      <c r="G218" s="108"/>
    </row>
    <row r="219" spans="1:7" ht="15.75">
      <c r="A219" s="108"/>
      <c r="B219" s="108"/>
      <c r="C219" s="108"/>
      <c r="D219" s="108"/>
      <c r="E219" s="108"/>
      <c r="F219" s="108"/>
      <c r="G219" s="108"/>
    </row>
    <row r="220" spans="1:7" ht="15.75">
      <c r="A220" s="108"/>
      <c r="B220" s="108"/>
      <c r="C220" s="108"/>
      <c r="D220" s="108"/>
      <c r="E220" s="108"/>
      <c r="F220" s="108"/>
      <c r="G220" s="108"/>
    </row>
    <row r="221" spans="1:7" ht="15.75">
      <c r="A221" s="108"/>
      <c r="B221" s="108"/>
      <c r="C221" s="108"/>
      <c r="D221" s="108"/>
      <c r="E221" s="108"/>
      <c r="F221" s="108"/>
      <c r="G221" s="108"/>
    </row>
    <row r="222" spans="1:7" ht="15.75">
      <c r="A222" s="108"/>
      <c r="B222" s="108"/>
      <c r="C222" s="108"/>
      <c r="D222" s="108"/>
      <c r="E222" s="108"/>
      <c r="F222" s="108"/>
      <c r="G222" s="108"/>
    </row>
    <row r="223" spans="1:7" ht="15.75">
      <c r="A223" s="108"/>
      <c r="B223" s="108"/>
      <c r="C223" s="108"/>
      <c r="D223" s="108"/>
      <c r="E223" s="108"/>
      <c r="F223" s="108"/>
      <c r="G223" s="108"/>
    </row>
    <row r="224" spans="1:7" ht="15.75">
      <c r="A224" s="108"/>
      <c r="B224" s="108"/>
      <c r="C224" s="108"/>
      <c r="D224" s="108"/>
      <c r="E224" s="108"/>
      <c r="F224" s="108"/>
      <c r="G224" s="108"/>
    </row>
    <row r="225" spans="1:7" ht="15.75">
      <c r="A225" s="108"/>
      <c r="B225" s="108"/>
      <c r="C225" s="108"/>
      <c r="D225" s="108"/>
      <c r="E225" s="108"/>
      <c r="F225" s="108"/>
      <c r="G225" s="108"/>
    </row>
    <row r="226" spans="1:7" ht="15.75">
      <c r="A226" s="108"/>
      <c r="B226" s="108"/>
      <c r="C226" s="108"/>
      <c r="D226" s="108"/>
      <c r="E226" s="108"/>
      <c r="F226" s="108"/>
      <c r="G226" s="108"/>
    </row>
    <row r="227" spans="1:7" ht="15.75">
      <c r="A227" s="108"/>
      <c r="B227" s="108"/>
      <c r="C227" s="108"/>
      <c r="D227" s="108"/>
      <c r="E227" s="108"/>
      <c r="F227" s="108"/>
      <c r="G227" s="108"/>
    </row>
    <row r="228" spans="1:7" ht="15.75">
      <c r="A228" s="108"/>
      <c r="B228" s="108"/>
      <c r="C228" s="108"/>
      <c r="D228" s="108"/>
      <c r="E228" s="108"/>
      <c r="F228" s="108"/>
      <c r="G228" s="108"/>
    </row>
    <row r="229" spans="1:7" ht="15.75">
      <c r="A229" s="108"/>
      <c r="B229" s="108"/>
      <c r="C229" s="108"/>
      <c r="D229" s="108"/>
      <c r="E229" s="108"/>
      <c r="F229" s="108"/>
      <c r="G229" s="108"/>
    </row>
    <row r="230" spans="1:7" ht="15.75">
      <c r="A230" s="108"/>
      <c r="B230" s="108"/>
      <c r="C230" s="108"/>
      <c r="D230" s="108"/>
      <c r="E230" s="108"/>
      <c r="F230" s="108"/>
      <c r="G230" s="108"/>
    </row>
    <row r="231" spans="1:7" ht="15.75">
      <c r="A231" s="108"/>
      <c r="B231" s="108"/>
      <c r="C231" s="108"/>
      <c r="D231" s="108"/>
      <c r="E231" s="108"/>
      <c r="F231" s="108"/>
      <c r="G231" s="108"/>
    </row>
    <row r="232" spans="1:7" ht="15.75">
      <c r="A232" s="108"/>
      <c r="B232" s="108"/>
      <c r="C232" s="108"/>
      <c r="D232" s="108"/>
      <c r="E232" s="108"/>
      <c r="F232" s="108"/>
      <c r="G232" s="108"/>
    </row>
    <row r="233" spans="1:7" ht="15.75">
      <c r="A233" s="108"/>
      <c r="B233" s="108"/>
      <c r="C233" s="108"/>
      <c r="D233" s="108"/>
      <c r="E233" s="108"/>
      <c r="F233" s="108"/>
      <c r="G233" s="108"/>
    </row>
    <row r="234" spans="1:7" ht="15.75">
      <c r="A234" s="108"/>
      <c r="B234" s="108"/>
      <c r="C234" s="108"/>
      <c r="D234" s="108"/>
      <c r="E234" s="108"/>
      <c r="F234" s="108"/>
      <c r="G234" s="108"/>
    </row>
    <row r="235" spans="1:7" ht="15.75">
      <c r="A235" s="108"/>
      <c r="B235" s="108"/>
      <c r="C235" s="108"/>
      <c r="D235" s="108"/>
      <c r="E235" s="108"/>
      <c r="F235" s="108"/>
      <c r="G235" s="108"/>
    </row>
    <row r="236" spans="1:7" ht="15.75">
      <c r="A236" s="108"/>
      <c r="B236" s="108"/>
      <c r="C236" s="108"/>
      <c r="D236" s="108"/>
      <c r="E236" s="108"/>
      <c r="F236" s="108"/>
      <c r="G236" s="108"/>
    </row>
    <row r="237" spans="1:7" ht="15.75">
      <c r="A237" s="108"/>
      <c r="B237" s="108"/>
      <c r="C237" s="108"/>
      <c r="D237" s="108"/>
      <c r="E237" s="108"/>
      <c r="F237" s="108"/>
      <c r="G237" s="108"/>
    </row>
    <row r="238" spans="1:7" ht="15.75">
      <c r="A238" s="108"/>
      <c r="B238" s="108"/>
      <c r="C238" s="108"/>
      <c r="D238" s="108"/>
      <c r="E238" s="108"/>
      <c r="F238" s="108"/>
      <c r="G238" s="108"/>
    </row>
    <row r="239" spans="1:7" ht="15.75">
      <c r="A239" s="108"/>
      <c r="B239" s="108"/>
      <c r="C239" s="108"/>
      <c r="D239" s="108"/>
      <c r="E239" s="108"/>
      <c r="F239" s="108"/>
      <c r="G239" s="108"/>
    </row>
    <row r="240" spans="1:7" ht="15.75">
      <c r="A240" s="108"/>
      <c r="B240" s="108"/>
      <c r="C240" s="108"/>
      <c r="D240" s="108"/>
      <c r="E240" s="108"/>
      <c r="F240" s="108"/>
      <c r="G240" s="108"/>
    </row>
    <row r="241" spans="1:7" ht="15.75">
      <c r="A241" s="108"/>
      <c r="B241" s="108"/>
      <c r="C241" s="108"/>
      <c r="D241" s="108"/>
      <c r="E241" s="108"/>
      <c r="F241" s="108"/>
      <c r="G241" s="108"/>
    </row>
    <row r="242" spans="1:7" ht="15.75">
      <c r="A242" s="108"/>
      <c r="B242" s="108"/>
      <c r="C242" s="108"/>
      <c r="D242" s="108"/>
      <c r="E242" s="108"/>
      <c r="F242" s="108"/>
      <c r="G242" s="108"/>
    </row>
    <row r="243" spans="1:7" ht="15.75">
      <c r="A243" s="108"/>
      <c r="B243" s="108"/>
      <c r="C243" s="108"/>
      <c r="D243" s="108"/>
      <c r="E243" s="108"/>
      <c r="F243" s="108"/>
      <c r="G243" s="108"/>
    </row>
    <row r="244" spans="1:7" ht="15.75">
      <c r="A244" s="108"/>
      <c r="B244" s="108"/>
      <c r="C244" s="108"/>
      <c r="D244" s="108"/>
      <c r="E244" s="108"/>
      <c r="F244" s="108"/>
      <c r="G244" s="108"/>
    </row>
    <row r="245" spans="1:7" ht="15.75">
      <c r="A245" s="108"/>
      <c r="B245" s="108"/>
      <c r="C245" s="108"/>
      <c r="D245" s="108"/>
      <c r="E245" s="108"/>
      <c r="F245" s="108"/>
      <c r="G245" s="108"/>
    </row>
    <row r="246" spans="1:7" ht="15.75">
      <c r="A246" s="108"/>
      <c r="B246" s="108"/>
      <c r="C246" s="108"/>
      <c r="D246" s="108"/>
      <c r="E246" s="108"/>
      <c r="F246" s="108"/>
      <c r="G246" s="108"/>
    </row>
    <row r="247" spans="1:7" ht="15.75">
      <c r="A247" s="108"/>
      <c r="B247" s="108"/>
      <c r="C247" s="108"/>
      <c r="D247" s="108"/>
      <c r="E247" s="108"/>
      <c r="F247" s="108"/>
      <c r="G247" s="108"/>
    </row>
    <row r="248" spans="1:7" ht="15.75">
      <c r="A248" s="108"/>
      <c r="B248" s="108"/>
      <c r="C248" s="108"/>
      <c r="D248" s="108"/>
      <c r="E248" s="108"/>
      <c r="F248" s="108"/>
      <c r="G248" s="108"/>
    </row>
    <row r="249" spans="1:7" ht="15.75">
      <c r="A249" s="108"/>
      <c r="B249" s="108"/>
      <c r="C249" s="108"/>
      <c r="D249" s="108"/>
      <c r="E249" s="108"/>
      <c r="F249" s="108"/>
      <c r="G249" s="108"/>
    </row>
    <row r="250" spans="1:7" ht="15.75">
      <c r="A250" s="108"/>
      <c r="B250" s="108"/>
      <c r="C250" s="108"/>
      <c r="D250" s="108"/>
      <c r="E250" s="108"/>
      <c r="F250" s="108"/>
      <c r="G250" s="108"/>
    </row>
    <row r="251" spans="1:7" ht="15.75">
      <c r="A251" s="108"/>
      <c r="B251" s="108"/>
      <c r="C251" s="108"/>
      <c r="D251" s="108"/>
      <c r="E251" s="108"/>
      <c r="F251" s="108"/>
      <c r="G251" s="108"/>
    </row>
    <row r="252" spans="1:7" ht="15.75">
      <c r="A252" s="108"/>
      <c r="B252" s="108"/>
      <c r="C252" s="108"/>
      <c r="D252" s="108"/>
      <c r="E252" s="108"/>
      <c r="F252" s="108"/>
      <c r="G252" s="108"/>
    </row>
    <row r="253" spans="1:7" ht="15.75">
      <c r="A253" s="108"/>
      <c r="B253" s="108"/>
      <c r="C253" s="108"/>
      <c r="D253" s="108"/>
      <c r="E253" s="108"/>
      <c r="F253" s="108"/>
      <c r="G253" s="108"/>
    </row>
    <row r="254" spans="1:7" ht="15.75">
      <c r="A254" s="108"/>
      <c r="B254" s="108"/>
      <c r="C254" s="108"/>
      <c r="D254" s="108"/>
      <c r="E254" s="108"/>
      <c r="F254" s="108"/>
      <c r="G254" s="108"/>
    </row>
    <row r="255" spans="1:7" ht="15.75">
      <c r="A255" s="108"/>
      <c r="B255" s="108"/>
      <c r="C255" s="108"/>
      <c r="D255" s="108"/>
      <c r="E255" s="108"/>
      <c r="F255" s="108"/>
      <c r="G255" s="108"/>
    </row>
    <row r="256" spans="1:7" ht="15.75">
      <c r="A256" s="108"/>
      <c r="B256" s="108"/>
      <c r="C256" s="108"/>
      <c r="D256" s="108"/>
      <c r="E256" s="108"/>
      <c r="F256" s="108"/>
      <c r="G256" s="108"/>
    </row>
    <row r="257" spans="1:7" ht="15.75">
      <c r="A257" s="108"/>
      <c r="B257" s="108"/>
      <c r="C257" s="108"/>
      <c r="D257" s="108"/>
      <c r="E257" s="108"/>
      <c r="F257" s="108"/>
      <c r="G257" s="108"/>
    </row>
    <row r="258" spans="1:7" ht="15.75">
      <c r="A258" s="108"/>
      <c r="B258" s="108"/>
      <c r="C258" s="108"/>
      <c r="D258" s="108"/>
      <c r="E258" s="108"/>
      <c r="F258" s="108"/>
      <c r="G258" s="108"/>
    </row>
    <row r="259" spans="1:7" ht="15.75">
      <c r="A259" s="108"/>
      <c r="B259" s="108"/>
      <c r="C259" s="108"/>
      <c r="D259" s="108"/>
      <c r="E259" s="108"/>
      <c r="F259" s="108"/>
      <c r="G259" s="108"/>
    </row>
    <row r="260" spans="1:7" ht="15.75">
      <c r="A260" s="108"/>
      <c r="B260" s="108"/>
      <c r="C260" s="108"/>
      <c r="D260" s="108"/>
      <c r="E260" s="108"/>
      <c r="F260" s="108"/>
      <c r="G260" s="108"/>
    </row>
    <row r="261" spans="1:7" ht="15.75">
      <c r="A261" s="108"/>
      <c r="B261" s="108"/>
      <c r="C261" s="108"/>
      <c r="D261" s="108"/>
      <c r="E261" s="108"/>
      <c r="F261" s="108"/>
      <c r="G261" s="108"/>
    </row>
    <row r="262" spans="1:7" ht="15.75">
      <c r="A262" s="108"/>
      <c r="B262" s="108"/>
      <c r="C262" s="108"/>
      <c r="D262" s="108"/>
      <c r="E262" s="108"/>
      <c r="F262" s="108"/>
      <c r="G262" s="108"/>
    </row>
    <row r="263" spans="1:7" ht="15.75">
      <c r="A263" s="108"/>
      <c r="B263" s="108"/>
      <c r="C263" s="108"/>
      <c r="D263" s="108"/>
      <c r="E263" s="108"/>
      <c r="F263" s="108"/>
      <c r="G263" s="108"/>
    </row>
    <row r="264" spans="1:7" ht="15.75">
      <c r="A264" s="108"/>
      <c r="B264" s="108"/>
      <c r="C264" s="108"/>
      <c r="D264" s="108"/>
      <c r="E264" s="108"/>
      <c r="F264" s="108"/>
      <c r="G264" s="108"/>
    </row>
    <row r="265" spans="1:7" ht="15.75">
      <c r="A265" s="108"/>
      <c r="B265" s="108"/>
      <c r="C265" s="108"/>
      <c r="D265" s="108"/>
      <c r="E265" s="108"/>
      <c r="F265" s="108"/>
      <c r="G265" s="108"/>
    </row>
    <row r="266" spans="1:7" ht="15.75">
      <c r="A266" s="108"/>
      <c r="B266" s="108"/>
      <c r="C266" s="108"/>
      <c r="D266" s="108"/>
      <c r="E266" s="108"/>
      <c r="F266" s="108"/>
      <c r="G266" s="108"/>
    </row>
    <row r="267" spans="1:7" ht="15.75">
      <c r="A267" s="108"/>
      <c r="B267" s="108"/>
      <c r="C267" s="108"/>
      <c r="D267" s="108"/>
      <c r="E267" s="108"/>
      <c r="F267" s="108"/>
      <c r="G267" s="108"/>
    </row>
    <row r="268" spans="1:7" ht="15.75">
      <c r="A268" s="108"/>
      <c r="B268" s="108"/>
      <c r="C268" s="108"/>
      <c r="D268" s="108"/>
      <c r="E268" s="108"/>
      <c r="F268" s="108"/>
      <c r="G268" s="108"/>
    </row>
    <row r="269" spans="1:7" ht="15.75">
      <c r="A269" s="108"/>
      <c r="B269" s="108"/>
      <c r="C269" s="108"/>
      <c r="D269" s="108"/>
      <c r="E269" s="108"/>
      <c r="F269" s="108"/>
      <c r="G269" s="108"/>
    </row>
    <row r="270" spans="1:7" ht="15.75">
      <c r="A270" s="108"/>
      <c r="B270" s="108"/>
      <c r="C270" s="108"/>
      <c r="D270" s="108"/>
      <c r="E270" s="108"/>
      <c r="F270" s="108"/>
      <c r="G270" s="108"/>
    </row>
    <row r="271" spans="1:7" ht="15.75">
      <c r="A271" s="108"/>
      <c r="B271" s="108"/>
      <c r="C271" s="108"/>
      <c r="D271" s="108"/>
      <c r="E271" s="108"/>
      <c r="F271" s="108"/>
      <c r="G271" s="108"/>
    </row>
    <row r="272" spans="1:7" ht="15.75">
      <c r="A272" s="108"/>
      <c r="B272" s="108"/>
      <c r="C272" s="108"/>
      <c r="D272" s="108"/>
      <c r="E272" s="108"/>
      <c r="F272" s="108"/>
      <c r="G272" s="108"/>
    </row>
    <row r="273" spans="1:7" ht="15.75">
      <c r="A273" s="108"/>
      <c r="B273" s="108"/>
      <c r="C273" s="108"/>
      <c r="D273" s="108"/>
      <c r="E273" s="108"/>
      <c r="F273" s="108"/>
      <c r="G273" s="108"/>
    </row>
    <row r="274" spans="1:7" ht="15.75">
      <c r="A274" s="108"/>
      <c r="B274" s="108"/>
      <c r="C274" s="108"/>
      <c r="D274" s="108"/>
      <c r="E274" s="108"/>
      <c r="F274" s="108"/>
      <c r="G274" s="108"/>
    </row>
    <row r="275" spans="1:7" ht="15.75">
      <c r="A275" s="108"/>
      <c r="B275" s="108"/>
      <c r="C275" s="108"/>
      <c r="D275" s="108"/>
      <c r="E275" s="108"/>
      <c r="F275" s="108"/>
      <c r="G275" s="108"/>
    </row>
    <row r="276" spans="1:7" ht="15.75">
      <c r="A276" s="108"/>
      <c r="B276" s="108"/>
      <c r="C276" s="108"/>
      <c r="D276" s="108"/>
      <c r="E276" s="108"/>
      <c r="F276" s="108"/>
      <c r="G276" s="108"/>
    </row>
    <row r="277" spans="1:7" ht="15.75">
      <c r="A277" s="108"/>
      <c r="B277" s="108"/>
      <c r="C277" s="108"/>
      <c r="D277" s="108"/>
      <c r="E277" s="108"/>
      <c r="F277" s="108"/>
      <c r="G277" s="108"/>
    </row>
    <row r="278" spans="1:7" ht="15.75">
      <c r="A278" s="108"/>
      <c r="B278" s="108"/>
      <c r="C278" s="108"/>
      <c r="D278" s="108"/>
      <c r="E278" s="108"/>
      <c r="F278" s="108"/>
      <c r="G278" s="108"/>
    </row>
    <row r="279" spans="1:7" ht="15.75">
      <c r="A279" s="108"/>
      <c r="B279" s="108"/>
      <c r="C279" s="108"/>
      <c r="D279" s="108"/>
      <c r="E279" s="108"/>
      <c r="F279" s="108"/>
      <c r="G279" s="108"/>
    </row>
    <row r="280" spans="1:7" ht="15.75">
      <c r="A280" s="108"/>
      <c r="B280" s="108"/>
      <c r="C280" s="108"/>
      <c r="D280" s="108"/>
      <c r="E280" s="108"/>
      <c r="F280" s="108"/>
      <c r="G280" s="108"/>
    </row>
    <row r="281" spans="1:7" ht="15.75">
      <c r="A281" s="108"/>
      <c r="B281" s="108"/>
      <c r="C281" s="108"/>
      <c r="D281" s="108"/>
      <c r="E281" s="108"/>
      <c r="F281" s="108"/>
      <c r="G281" s="108"/>
    </row>
    <row r="282" spans="1:7" ht="15.75">
      <c r="A282" s="108"/>
      <c r="B282" s="108"/>
      <c r="C282" s="108"/>
      <c r="D282" s="108"/>
      <c r="E282" s="108"/>
      <c r="F282" s="108"/>
      <c r="G282" s="108"/>
    </row>
    <row r="283" spans="1:7" ht="15.75">
      <c r="A283" s="108"/>
      <c r="B283" s="108"/>
      <c r="C283" s="108"/>
      <c r="D283" s="108"/>
      <c r="E283" s="108"/>
      <c r="F283" s="108"/>
      <c r="G283" s="108"/>
    </row>
    <row r="284" spans="1:7" ht="15.75">
      <c r="A284" s="108"/>
      <c r="B284" s="108"/>
      <c r="C284" s="108"/>
      <c r="D284" s="108"/>
      <c r="E284" s="108"/>
      <c r="F284" s="108"/>
      <c r="G284" s="108"/>
    </row>
    <row r="285" spans="1:7" ht="15.75">
      <c r="A285" s="108"/>
      <c r="B285" s="108"/>
      <c r="C285" s="108"/>
      <c r="D285" s="108"/>
      <c r="E285" s="108"/>
      <c r="F285" s="108"/>
      <c r="G285" s="108"/>
    </row>
    <row r="286" spans="1:7" ht="15.75">
      <c r="A286" s="108"/>
      <c r="B286" s="108"/>
      <c r="C286" s="108"/>
      <c r="D286" s="108"/>
      <c r="E286" s="108"/>
      <c r="F286" s="108"/>
      <c r="G286" s="108"/>
    </row>
    <row r="287" spans="1:7" ht="15.75">
      <c r="A287" s="108"/>
      <c r="B287" s="108"/>
      <c r="C287" s="108"/>
      <c r="D287" s="108"/>
      <c r="E287" s="108"/>
      <c r="F287" s="108"/>
      <c r="G287" s="108"/>
    </row>
    <row r="288" spans="1:7" ht="15.75">
      <c r="A288" s="108"/>
      <c r="B288" s="108"/>
      <c r="C288" s="108"/>
      <c r="D288" s="108"/>
      <c r="E288" s="108"/>
      <c r="F288" s="108"/>
      <c r="G288" s="108"/>
    </row>
    <row r="289" spans="1:7" ht="15.75">
      <c r="A289" s="108"/>
      <c r="B289" s="108"/>
      <c r="C289" s="108"/>
      <c r="D289" s="108"/>
      <c r="E289" s="108"/>
      <c r="F289" s="108"/>
      <c r="G289" s="108"/>
    </row>
    <row r="290" spans="1:7" ht="15.75">
      <c r="A290" s="108"/>
      <c r="B290" s="108"/>
      <c r="C290" s="108"/>
      <c r="D290" s="108"/>
      <c r="E290" s="108"/>
      <c r="F290" s="108"/>
      <c r="G290" s="108"/>
    </row>
    <row r="291" spans="1:7" ht="15.75">
      <c r="A291" s="108"/>
      <c r="B291" s="108"/>
      <c r="C291" s="108"/>
      <c r="D291" s="108"/>
      <c r="E291" s="108"/>
      <c r="F291" s="108"/>
      <c r="G291" s="108"/>
    </row>
    <row r="292" spans="1:7" ht="15.75">
      <c r="A292" s="108"/>
      <c r="B292" s="108"/>
      <c r="C292" s="108"/>
      <c r="D292" s="108"/>
      <c r="E292" s="108"/>
      <c r="F292" s="108"/>
      <c r="G292" s="108"/>
    </row>
    <row r="293" spans="1:7" ht="15.75">
      <c r="A293" s="108"/>
      <c r="B293" s="108"/>
      <c r="C293" s="108"/>
      <c r="D293" s="108"/>
      <c r="E293" s="108"/>
      <c r="F293" s="108"/>
      <c r="G293" s="108"/>
    </row>
    <row r="294" spans="1:7" ht="15.75">
      <c r="A294" s="108"/>
      <c r="B294" s="108"/>
      <c r="C294" s="108"/>
      <c r="D294" s="108"/>
      <c r="E294" s="108"/>
      <c r="F294" s="108"/>
      <c r="G294" s="108"/>
    </row>
    <row r="295" spans="1:7" ht="15.75">
      <c r="A295" s="108"/>
      <c r="B295" s="108"/>
      <c r="C295" s="108"/>
      <c r="D295" s="108"/>
      <c r="E295" s="108"/>
      <c r="F295" s="108"/>
      <c r="G295" s="108"/>
    </row>
    <row r="296" spans="1:7" ht="15.75">
      <c r="A296" s="108"/>
      <c r="B296" s="108"/>
      <c r="C296" s="108"/>
      <c r="D296" s="108"/>
      <c r="E296" s="108"/>
      <c r="F296" s="108"/>
      <c r="G296" s="108"/>
    </row>
    <row r="297" spans="1:7" ht="15.75">
      <c r="A297" s="108"/>
      <c r="B297" s="108"/>
      <c r="C297" s="108"/>
      <c r="D297" s="108"/>
      <c r="E297" s="108"/>
      <c r="F297" s="108"/>
      <c r="G297" s="108"/>
    </row>
    <row r="298" spans="1:7" ht="15.75">
      <c r="A298" s="108"/>
      <c r="B298" s="108"/>
      <c r="C298" s="108"/>
      <c r="D298" s="108"/>
      <c r="E298" s="108"/>
      <c r="F298" s="108"/>
      <c r="G298" s="108"/>
    </row>
    <row r="299" spans="1:7" ht="15.75">
      <c r="A299" s="108"/>
      <c r="B299" s="108"/>
      <c r="C299" s="108"/>
      <c r="D299" s="108"/>
      <c r="E299" s="108"/>
      <c r="F299" s="108"/>
      <c r="G299" s="108"/>
    </row>
    <row r="300" spans="1:7" ht="15.75">
      <c r="A300" s="108"/>
      <c r="B300" s="108"/>
      <c r="C300" s="108"/>
      <c r="D300" s="108"/>
      <c r="E300" s="108"/>
      <c r="F300" s="108"/>
      <c r="G300" s="108"/>
    </row>
    <row r="301" spans="1:7" ht="15.75">
      <c r="A301" s="108"/>
      <c r="B301" s="108"/>
      <c r="C301" s="108"/>
      <c r="D301" s="108"/>
      <c r="E301" s="108"/>
      <c r="F301" s="108"/>
      <c r="G301" s="108"/>
    </row>
    <row r="302" spans="1:7" ht="15.75">
      <c r="A302" s="108"/>
      <c r="B302" s="108"/>
      <c r="C302" s="108"/>
      <c r="D302" s="108"/>
      <c r="E302" s="108"/>
      <c r="F302" s="108"/>
      <c r="G302" s="108"/>
    </row>
    <row r="303" spans="1:7" ht="15.75">
      <c r="A303" s="108"/>
      <c r="B303" s="108"/>
      <c r="C303" s="108"/>
      <c r="D303" s="108"/>
      <c r="E303" s="108"/>
      <c r="F303" s="108"/>
      <c r="G303" s="108"/>
    </row>
    <row r="304" spans="1:7" ht="15.75">
      <c r="A304" s="108"/>
      <c r="B304" s="108"/>
      <c r="C304" s="108"/>
      <c r="D304" s="108"/>
      <c r="E304" s="108"/>
      <c r="F304" s="108"/>
      <c r="G304" s="108"/>
    </row>
    <row r="305" spans="1:7" ht="15.75">
      <c r="A305" s="108"/>
      <c r="B305" s="108"/>
      <c r="C305" s="108"/>
      <c r="D305" s="108"/>
      <c r="E305" s="108"/>
      <c r="F305" s="108"/>
      <c r="G305" s="108"/>
    </row>
    <row r="306" spans="1:7" ht="15.75">
      <c r="A306" s="108"/>
      <c r="B306" s="108"/>
      <c r="C306" s="108"/>
      <c r="D306" s="108"/>
      <c r="E306" s="108"/>
      <c r="F306" s="108"/>
      <c r="G306" s="108"/>
    </row>
    <row r="307" spans="1:7" ht="15.75">
      <c r="A307" s="108"/>
      <c r="B307" s="108"/>
      <c r="C307" s="108"/>
      <c r="D307" s="108"/>
      <c r="E307" s="108"/>
      <c r="F307" s="108"/>
      <c r="G307" s="108"/>
    </row>
    <row r="308" spans="1:7" ht="15.75">
      <c r="A308" s="108"/>
      <c r="B308" s="108"/>
      <c r="C308" s="108"/>
      <c r="D308" s="108"/>
      <c r="E308" s="108"/>
      <c r="F308" s="108"/>
      <c r="G308" s="108"/>
    </row>
    <row r="309" spans="1:7" ht="15.75">
      <c r="A309" s="108"/>
      <c r="B309" s="108"/>
      <c r="C309" s="108"/>
      <c r="D309" s="108"/>
      <c r="E309" s="108"/>
      <c r="F309" s="108"/>
      <c r="G309" s="108"/>
    </row>
    <row r="310" spans="1:7" ht="15.75">
      <c r="A310" s="108"/>
      <c r="B310" s="108"/>
      <c r="C310" s="108"/>
      <c r="D310" s="108"/>
      <c r="E310" s="108"/>
      <c r="F310" s="108"/>
      <c r="G310" s="108"/>
    </row>
    <row r="311" spans="1:7" ht="15.75">
      <c r="A311" s="108"/>
      <c r="B311" s="108"/>
      <c r="C311" s="108"/>
      <c r="D311" s="108"/>
      <c r="E311" s="108"/>
      <c r="F311" s="108"/>
      <c r="G311" s="108"/>
    </row>
    <row r="312" spans="1:7" ht="15.75">
      <c r="A312" s="108"/>
      <c r="B312" s="108"/>
      <c r="C312" s="108"/>
      <c r="D312" s="108"/>
      <c r="E312" s="108"/>
      <c r="F312" s="108"/>
      <c r="G312" s="108"/>
    </row>
    <row r="313" spans="1:7" ht="15.75">
      <c r="A313" s="108"/>
      <c r="B313" s="108"/>
      <c r="C313" s="108"/>
      <c r="D313" s="108"/>
      <c r="E313" s="108"/>
      <c r="F313" s="108"/>
      <c r="G313" s="108"/>
    </row>
    <row r="314" spans="1:7" ht="15.75">
      <c r="A314" s="108"/>
      <c r="B314" s="108"/>
      <c r="C314" s="108"/>
      <c r="D314" s="108"/>
      <c r="E314" s="108"/>
      <c r="F314" s="108"/>
      <c r="G314" s="108"/>
    </row>
    <row r="315" spans="1:7" ht="15.75">
      <c r="A315" s="108"/>
      <c r="B315" s="108"/>
      <c r="C315" s="108"/>
      <c r="D315" s="108"/>
      <c r="E315" s="108"/>
      <c r="F315" s="108"/>
      <c r="G315" s="108"/>
    </row>
    <row r="316" spans="1:7" ht="15.75">
      <c r="A316" s="108"/>
      <c r="B316" s="108"/>
      <c r="C316" s="108"/>
      <c r="D316" s="108"/>
      <c r="E316" s="108"/>
      <c r="F316" s="108"/>
      <c r="G316" s="108"/>
    </row>
    <row r="317" spans="1:7" ht="15.75">
      <c r="A317" s="108"/>
      <c r="B317" s="108"/>
      <c r="C317" s="108"/>
      <c r="D317" s="108"/>
      <c r="E317" s="108"/>
      <c r="F317" s="108"/>
      <c r="G317" s="108"/>
    </row>
    <row r="318" spans="1:7" ht="15.75">
      <c r="A318" s="108"/>
      <c r="B318" s="108"/>
      <c r="C318" s="108"/>
      <c r="D318" s="108"/>
      <c r="E318" s="108"/>
      <c r="F318" s="108"/>
      <c r="G318" s="108"/>
    </row>
    <row r="319" spans="1:7" ht="15.75">
      <c r="A319" s="108"/>
      <c r="B319" s="108"/>
      <c r="C319" s="108"/>
      <c r="D319" s="108"/>
      <c r="E319" s="108"/>
      <c r="F319" s="108"/>
      <c r="G319" s="108"/>
    </row>
    <row r="320" spans="1:7" ht="15.75">
      <c r="A320" s="108"/>
      <c r="B320" s="108"/>
      <c r="C320" s="108"/>
      <c r="D320" s="108"/>
      <c r="E320" s="108"/>
      <c r="F320" s="108"/>
      <c r="G320" s="108"/>
    </row>
    <row r="321" spans="1:7" ht="15.75">
      <c r="A321" s="108"/>
      <c r="B321" s="108"/>
      <c r="C321" s="108"/>
      <c r="D321" s="108"/>
      <c r="E321" s="108"/>
      <c r="F321" s="108"/>
      <c r="G321" s="108"/>
    </row>
    <row r="322" spans="1:7" ht="15.75">
      <c r="A322" s="108"/>
      <c r="B322" s="108"/>
      <c r="C322" s="108"/>
      <c r="D322" s="108"/>
      <c r="E322" s="108"/>
      <c r="F322" s="108"/>
      <c r="G322" s="108"/>
    </row>
    <row r="323" spans="1:7" ht="15.75">
      <c r="A323" s="108"/>
      <c r="B323" s="108"/>
      <c r="C323" s="108"/>
      <c r="D323" s="108"/>
      <c r="E323" s="108"/>
      <c r="F323" s="108"/>
      <c r="G323" s="108"/>
    </row>
    <row r="324" spans="1:7" ht="15.75">
      <c r="A324" s="108"/>
      <c r="B324" s="108"/>
      <c r="C324" s="108"/>
      <c r="D324" s="108"/>
      <c r="E324" s="108"/>
      <c r="F324" s="108"/>
      <c r="G324" s="108"/>
    </row>
    <row r="325" spans="1:7" ht="15.75">
      <c r="A325" s="108"/>
      <c r="B325" s="108"/>
      <c r="C325" s="108"/>
      <c r="D325" s="108"/>
      <c r="E325" s="108"/>
      <c r="F325" s="108"/>
      <c r="G325" s="108"/>
    </row>
    <row r="326" spans="1:7" ht="15.75">
      <c r="A326" s="108"/>
      <c r="B326" s="108"/>
      <c r="C326" s="108"/>
      <c r="D326" s="108"/>
      <c r="E326" s="108"/>
      <c r="F326" s="108"/>
      <c r="G326" s="108"/>
    </row>
    <row r="327" spans="1:7" ht="15.75">
      <c r="A327" s="108"/>
      <c r="B327" s="108"/>
      <c r="C327" s="108"/>
      <c r="D327" s="108"/>
      <c r="E327" s="108"/>
      <c r="F327" s="108"/>
      <c r="G327" s="108"/>
    </row>
    <row r="328" spans="1:7" ht="15.75">
      <c r="A328" s="108"/>
      <c r="B328" s="108"/>
      <c r="C328" s="108"/>
      <c r="D328" s="108"/>
      <c r="E328" s="108"/>
      <c r="F328" s="108"/>
      <c r="G328" s="108"/>
    </row>
    <row r="329" spans="1:7" ht="15.75">
      <c r="A329" s="108"/>
      <c r="B329" s="108"/>
      <c r="C329" s="108"/>
      <c r="D329" s="108"/>
      <c r="E329" s="108"/>
      <c r="F329" s="108"/>
      <c r="G329" s="108"/>
    </row>
    <row r="330" spans="1:7" ht="15.75">
      <c r="A330" s="108"/>
      <c r="B330" s="108"/>
      <c r="C330" s="108"/>
      <c r="D330" s="108"/>
      <c r="E330" s="108"/>
      <c r="F330" s="108"/>
      <c r="G330" s="108"/>
    </row>
    <row r="331" spans="1:7" ht="15.75">
      <c r="A331" s="108"/>
      <c r="B331" s="108"/>
      <c r="C331" s="108"/>
      <c r="D331" s="108"/>
      <c r="E331" s="108"/>
      <c r="F331" s="108"/>
      <c r="G331" s="108"/>
    </row>
    <row r="332" spans="1:7" ht="15.75">
      <c r="A332" s="108"/>
      <c r="B332" s="108"/>
      <c r="C332" s="108"/>
      <c r="D332" s="108"/>
      <c r="E332" s="108"/>
      <c r="F332" s="108"/>
      <c r="G332" s="108"/>
    </row>
    <row r="333" spans="1:7" ht="15.75">
      <c r="A333" s="108"/>
      <c r="B333" s="108"/>
      <c r="C333" s="108"/>
      <c r="D333" s="108"/>
      <c r="E333" s="108"/>
      <c r="F333" s="108"/>
      <c r="G333" s="108"/>
    </row>
    <row r="334" spans="1:7" ht="15.75">
      <c r="A334" s="108"/>
      <c r="B334" s="108"/>
      <c r="C334" s="108"/>
      <c r="D334" s="108"/>
      <c r="E334" s="108"/>
      <c r="F334" s="108"/>
      <c r="G334" s="108"/>
    </row>
    <row r="335" spans="1:7" ht="15.75">
      <c r="A335" s="108"/>
      <c r="B335" s="108"/>
      <c r="C335" s="108"/>
      <c r="D335" s="108"/>
      <c r="E335" s="108"/>
      <c r="F335" s="108"/>
      <c r="G335" s="108"/>
    </row>
    <row r="336" spans="1:7" ht="15.75">
      <c r="A336" s="108"/>
      <c r="B336" s="108"/>
      <c r="C336" s="108"/>
      <c r="D336" s="108"/>
      <c r="E336" s="108"/>
      <c r="F336" s="108"/>
      <c r="G336" s="108"/>
    </row>
    <row r="337" spans="1:7" ht="15.75">
      <c r="A337" s="108"/>
      <c r="B337" s="108"/>
      <c r="C337" s="108"/>
      <c r="D337" s="108"/>
      <c r="E337" s="108"/>
      <c r="F337" s="108"/>
      <c r="G337" s="108"/>
    </row>
    <row r="338" spans="1:7" ht="15.75">
      <c r="A338" s="108"/>
      <c r="B338" s="108"/>
      <c r="C338" s="108"/>
      <c r="D338" s="108"/>
      <c r="E338" s="108"/>
      <c r="F338" s="108"/>
      <c r="G338" s="108"/>
    </row>
    <row r="339" spans="1:7" ht="15.75">
      <c r="A339" s="108"/>
      <c r="B339" s="108"/>
      <c r="C339" s="108"/>
      <c r="D339" s="108"/>
      <c r="E339" s="108"/>
      <c r="F339" s="108"/>
      <c r="G339" s="108"/>
    </row>
    <row r="340" spans="1:7" ht="15.75">
      <c r="A340" s="108"/>
      <c r="B340" s="108"/>
      <c r="C340" s="108"/>
      <c r="D340" s="108"/>
      <c r="E340" s="108"/>
      <c r="F340" s="108"/>
      <c r="G340" s="108"/>
    </row>
    <row r="341" spans="1:7" ht="15.75">
      <c r="A341" s="108"/>
      <c r="B341" s="108"/>
      <c r="C341" s="108"/>
      <c r="D341" s="108"/>
      <c r="E341" s="108"/>
      <c r="F341" s="108"/>
      <c r="G341" s="108"/>
    </row>
    <row r="342" spans="1:7" ht="15.75">
      <c r="A342" s="108"/>
      <c r="B342" s="108"/>
      <c r="C342" s="108"/>
      <c r="D342" s="108"/>
      <c r="E342" s="108"/>
      <c r="F342" s="108"/>
      <c r="G342" s="108"/>
    </row>
    <row r="343" spans="1:7" ht="15.75">
      <c r="A343" s="108"/>
      <c r="B343" s="108"/>
      <c r="C343" s="108"/>
      <c r="D343" s="108"/>
      <c r="E343" s="108"/>
      <c r="F343" s="108"/>
      <c r="G343" s="108"/>
    </row>
    <row r="344" spans="1:7" ht="15.75">
      <c r="A344" s="108"/>
      <c r="B344" s="108"/>
      <c r="C344" s="108"/>
      <c r="D344" s="108"/>
      <c r="E344" s="108"/>
      <c r="F344" s="108"/>
      <c r="G344" s="108"/>
    </row>
    <row r="345" spans="1:7" ht="15.75">
      <c r="A345" s="108"/>
      <c r="B345" s="108"/>
      <c r="C345" s="108"/>
      <c r="D345" s="108"/>
      <c r="E345" s="108"/>
      <c r="F345" s="108"/>
      <c r="G345" s="108"/>
    </row>
    <row r="346" spans="1:7" ht="15.75">
      <c r="A346" s="108"/>
      <c r="B346" s="108"/>
      <c r="C346" s="108"/>
      <c r="D346" s="108"/>
      <c r="E346" s="108"/>
      <c r="F346" s="108"/>
      <c r="G346" s="108"/>
    </row>
    <row r="347" spans="1:7" ht="15.75">
      <c r="A347" s="108"/>
      <c r="B347" s="108"/>
      <c r="C347" s="108"/>
      <c r="D347" s="108"/>
      <c r="E347" s="108"/>
      <c r="F347" s="108"/>
      <c r="G347" s="108"/>
    </row>
    <row r="348" spans="1:7" ht="15.75">
      <c r="A348" s="108"/>
      <c r="B348" s="108"/>
      <c r="C348" s="108"/>
      <c r="D348" s="108"/>
      <c r="E348" s="108"/>
      <c r="F348" s="108"/>
      <c r="G348" s="108"/>
    </row>
    <row r="349" spans="1:7" ht="15.75">
      <c r="A349" s="108"/>
      <c r="B349" s="108"/>
      <c r="C349" s="108"/>
      <c r="D349" s="108"/>
      <c r="E349" s="108"/>
      <c r="F349" s="108"/>
      <c r="G349" s="108"/>
    </row>
    <row r="350" spans="1:7" ht="15.75">
      <c r="A350" s="108"/>
      <c r="B350" s="108"/>
      <c r="C350" s="108"/>
      <c r="D350" s="108"/>
      <c r="E350" s="108"/>
      <c r="F350" s="108"/>
      <c r="G350" s="108"/>
    </row>
    <row r="351" spans="1:7" ht="15.75">
      <c r="A351" s="108"/>
      <c r="B351" s="108"/>
      <c r="C351" s="108"/>
      <c r="D351" s="108"/>
      <c r="E351" s="108"/>
      <c r="F351" s="108"/>
      <c r="G351" s="108"/>
    </row>
    <row r="352" spans="1:7" ht="15.75">
      <c r="A352" s="108"/>
      <c r="B352" s="108"/>
      <c r="C352" s="108"/>
      <c r="D352" s="108"/>
      <c r="E352" s="108"/>
      <c r="F352" s="108"/>
      <c r="G352" s="108"/>
    </row>
    <row r="353" spans="1:7" ht="15.75">
      <c r="A353" s="108"/>
      <c r="B353" s="108"/>
      <c r="C353" s="108"/>
      <c r="D353" s="108"/>
      <c r="E353" s="108"/>
      <c r="F353" s="108"/>
      <c r="G353" s="108"/>
    </row>
    <row r="354" spans="1:7" ht="15.75">
      <c r="A354" s="108"/>
      <c r="B354" s="108"/>
      <c r="C354" s="108"/>
      <c r="D354" s="108"/>
      <c r="E354" s="108"/>
      <c r="F354" s="108"/>
      <c r="G354" s="108"/>
    </row>
    <row r="355" spans="1:7" ht="15.75">
      <c r="A355" s="108"/>
      <c r="B355" s="108"/>
      <c r="C355" s="108"/>
      <c r="D355" s="108"/>
      <c r="E355" s="108"/>
      <c r="F355" s="108"/>
      <c r="G355" s="108"/>
    </row>
    <row r="356" spans="1:7" ht="15.75">
      <c r="A356" s="108"/>
      <c r="B356" s="108"/>
      <c r="C356" s="108"/>
      <c r="D356" s="108"/>
      <c r="E356" s="108"/>
      <c r="F356" s="108"/>
      <c r="G356" s="108"/>
    </row>
    <row r="357" spans="1:7" ht="15.75">
      <c r="A357" s="108"/>
      <c r="B357" s="108"/>
      <c r="C357" s="108"/>
      <c r="D357" s="108"/>
      <c r="E357" s="108"/>
      <c r="F357" s="108"/>
      <c r="G357" s="108"/>
    </row>
    <row r="358" spans="1:7" ht="15.75">
      <c r="A358" s="108"/>
      <c r="B358" s="108"/>
      <c r="C358" s="108"/>
      <c r="D358" s="108"/>
      <c r="E358" s="108"/>
      <c r="F358" s="108"/>
      <c r="G358" s="108"/>
    </row>
    <row r="359" spans="1:7" ht="15.75">
      <c r="A359" s="108"/>
      <c r="B359" s="108"/>
      <c r="C359" s="108"/>
      <c r="D359" s="108"/>
      <c r="E359" s="108"/>
      <c r="F359" s="108"/>
      <c r="G359" s="108"/>
    </row>
    <row r="360" spans="1:7" ht="15.75">
      <c r="A360" s="108"/>
      <c r="B360" s="108"/>
      <c r="C360" s="108"/>
      <c r="D360" s="108"/>
      <c r="E360" s="108"/>
      <c r="F360" s="108"/>
      <c r="G360" s="108"/>
    </row>
    <row r="361" spans="1:7" ht="15.75">
      <c r="A361" s="108"/>
      <c r="B361" s="108"/>
      <c r="C361" s="108"/>
      <c r="D361" s="108"/>
      <c r="E361" s="108"/>
      <c r="F361" s="108"/>
      <c r="G361" s="108"/>
    </row>
    <row r="362" spans="1:7" ht="15.75">
      <c r="A362" s="108"/>
      <c r="B362" s="108"/>
      <c r="C362" s="108"/>
      <c r="D362" s="108"/>
      <c r="E362" s="108"/>
      <c r="F362" s="108"/>
      <c r="G362" s="108"/>
    </row>
    <row r="363" spans="1:7" ht="15.75">
      <c r="A363" s="108"/>
      <c r="B363" s="108"/>
      <c r="C363" s="108"/>
      <c r="D363" s="108"/>
      <c r="E363" s="108"/>
      <c r="F363" s="108"/>
      <c r="G363" s="108"/>
    </row>
    <row r="364" spans="1:7" ht="15.75">
      <c r="A364" s="108"/>
      <c r="B364" s="108"/>
      <c r="C364" s="108"/>
      <c r="D364" s="108"/>
      <c r="E364" s="108"/>
      <c r="F364" s="108"/>
      <c r="G364" s="108"/>
    </row>
    <row r="365" spans="1:7" ht="15.75">
      <c r="A365" s="108"/>
      <c r="B365" s="108"/>
      <c r="C365" s="108"/>
      <c r="D365" s="108"/>
      <c r="E365" s="108"/>
      <c r="F365" s="108"/>
      <c r="G365" s="108"/>
    </row>
    <row r="366" spans="1:7" ht="15.75">
      <c r="A366" s="108"/>
      <c r="B366" s="108"/>
      <c r="C366" s="108"/>
      <c r="D366" s="108"/>
      <c r="E366" s="108"/>
      <c r="F366" s="108"/>
      <c r="G366" s="108"/>
    </row>
    <row r="367" spans="1:7" ht="15.75">
      <c r="A367" s="108"/>
      <c r="B367" s="108"/>
      <c r="C367" s="108"/>
      <c r="D367" s="108"/>
      <c r="E367" s="108"/>
      <c r="F367" s="108"/>
      <c r="G367" s="108"/>
    </row>
    <row r="368" spans="1:7" ht="15.75">
      <c r="A368" s="108"/>
      <c r="B368" s="108"/>
      <c r="C368" s="108"/>
      <c r="D368" s="108"/>
      <c r="E368" s="108"/>
      <c r="F368" s="108"/>
      <c r="G368" s="108"/>
    </row>
    <row r="369" spans="1:7" ht="15.75">
      <c r="A369" s="108"/>
      <c r="B369" s="108"/>
      <c r="C369" s="108"/>
      <c r="D369" s="108"/>
      <c r="E369" s="108"/>
      <c r="F369" s="108"/>
      <c r="G369" s="108"/>
    </row>
    <row r="370" spans="1:7" ht="15.75">
      <c r="A370" s="108"/>
      <c r="B370" s="108"/>
      <c r="C370" s="108"/>
      <c r="D370" s="108"/>
      <c r="E370" s="108"/>
      <c r="F370" s="108"/>
      <c r="G370" s="108"/>
    </row>
    <row r="371" spans="1:7" ht="15.75">
      <c r="A371" s="108"/>
      <c r="B371" s="108"/>
      <c r="C371" s="108"/>
      <c r="D371" s="108"/>
      <c r="E371" s="108"/>
      <c r="F371" s="108"/>
      <c r="G371" s="108"/>
    </row>
    <row r="372" spans="1:7" ht="15.75">
      <c r="A372" s="108"/>
      <c r="B372" s="108"/>
      <c r="C372" s="108"/>
      <c r="D372" s="108"/>
      <c r="E372" s="108"/>
      <c r="F372" s="108"/>
      <c r="G372" s="108"/>
    </row>
    <row r="373" spans="1:7" ht="15.75">
      <c r="A373" s="108"/>
      <c r="B373" s="108"/>
      <c r="C373" s="108"/>
      <c r="D373" s="108"/>
      <c r="E373" s="108"/>
      <c r="F373" s="108"/>
      <c r="G373" s="108"/>
    </row>
    <row r="374" spans="1:7" ht="15.75">
      <c r="A374" s="108"/>
      <c r="B374" s="108"/>
      <c r="C374" s="108"/>
      <c r="D374" s="108"/>
      <c r="E374" s="108"/>
      <c r="F374" s="108"/>
      <c r="G374" s="108"/>
    </row>
    <row r="375" spans="1:7" ht="15.75">
      <c r="A375" s="108"/>
      <c r="B375" s="108"/>
      <c r="C375" s="108"/>
      <c r="D375" s="108"/>
      <c r="E375" s="108"/>
      <c r="F375" s="108"/>
      <c r="G375" s="108"/>
    </row>
    <row r="376" spans="1:7" ht="15.75">
      <c r="A376" s="108"/>
      <c r="B376" s="108"/>
      <c r="C376" s="108"/>
      <c r="D376" s="108"/>
      <c r="E376" s="108"/>
      <c r="F376" s="108"/>
      <c r="G376" s="108"/>
    </row>
    <row r="377" spans="1:7" ht="15.75">
      <c r="A377" s="108"/>
      <c r="B377" s="108"/>
      <c r="C377" s="108"/>
      <c r="D377" s="108"/>
      <c r="E377" s="108"/>
      <c r="F377" s="108"/>
      <c r="G377" s="108"/>
    </row>
    <row r="378" spans="1:7" ht="15.75">
      <c r="A378" s="108"/>
      <c r="B378" s="108"/>
      <c r="C378" s="108"/>
      <c r="D378" s="108"/>
      <c r="E378" s="108"/>
      <c r="F378" s="108"/>
      <c r="G378" s="108"/>
    </row>
    <row r="379" spans="1:7" ht="15.75">
      <c r="A379" s="108"/>
      <c r="B379" s="108"/>
      <c r="C379" s="108"/>
      <c r="D379" s="108"/>
      <c r="E379" s="108"/>
      <c r="F379" s="108"/>
      <c r="G379" s="108"/>
    </row>
    <row r="380" spans="1:7" ht="15.75">
      <c r="A380" s="108"/>
      <c r="B380" s="108"/>
      <c r="C380" s="108"/>
      <c r="D380" s="108"/>
      <c r="E380" s="108"/>
      <c r="F380" s="108"/>
      <c r="G380" s="108"/>
    </row>
    <row r="381" spans="1:7" ht="15.75">
      <c r="A381" s="108"/>
      <c r="B381" s="108"/>
      <c r="C381" s="108"/>
      <c r="D381" s="108"/>
      <c r="E381" s="108"/>
      <c r="F381" s="108"/>
      <c r="G381" s="108"/>
    </row>
    <row r="382" spans="1:7" ht="15.75">
      <c r="A382" s="108"/>
      <c r="B382" s="108"/>
      <c r="C382" s="108"/>
      <c r="D382" s="108"/>
      <c r="E382" s="108"/>
      <c r="F382" s="108"/>
      <c r="G382" s="108"/>
    </row>
    <row r="383" spans="1:7" ht="15.75">
      <c r="A383" s="108"/>
      <c r="B383" s="108"/>
      <c r="C383" s="108"/>
      <c r="D383" s="108"/>
      <c r="E383" s="108"/>
      <c r="F383" s="108"/>
      <c r="G383" s="108"/>
    </row>
    <row r="384" spans="1:7" ht="15.75">
      <c r="A384" s="108"/>
      <c r="B384" s="108"/>
      <c r="C384" s="108"/>
      <c r="D384" s="108"/>
      <c r="E384" s="108"/>
      <c r="F384" s="108"/>
      <c r="G384" s="108"/>
    </row>
    <row r="385" spans="1:7" ht="15.75">
      <c r="A385" s="108"/>
      <c r="B385" s="108"/>
      <c r="C385" s="108"/>
      <c r="D385" s="108"/>
      <c r="E385" s="108"/>
      <c r="F385" s="108"/>
      <c r="G385" s="108"/>
    </row>
    <row r="386" spans="1:7" ht="15.75">
      <c r="A386" s="108"/>
      <c r="B386" s="108"/>
      <c r="C386" s="108"/>
      <c r="D386" s="108"/>
      <c r="E386" s="108"/>
      <c r="F386" s="108"/>
      <c r="G386" s="108"/>
    </row>
    <row r="387" spans="1:7" ht="15.75">
      <c r="A387" s="108"/>
      <c r="B387" s="108"/>
      <c r="C387" s="108"/>
      <c r="D387" s="108"/>
      <c r="E387" s="108"/>
      <c r="F387" s="108"/>
      <c r="G387" s="108"/>
    </row>
    <row r="388" spans="1:7" ht="15.75">
      <c r="A388" s="108"/>
      <c r="B388" s="108"/>
      <c r="C388" s="108"/>
      <c r="D388" s="108"/>
      <c r="E388" s="108"/>
      <c r="F388" s="108"/>
      <c r="G388" s="108"/>
    </row>
    <row r="389" spans="1:7" ht="15.75">
      <c r="A389" s="108"/>
      <c r="B389" s="108"/>
      <c r="C389" s="108"/>
      <c r="D389" s="108"/>
      <c r="E389" s="108"/>
      <c r="F389" s="108"/>
      <c r="G389" s="108"/>
    </row>
    <row r="390" spans="1:7" ht="15.75">
      <c r="A390" s="108"/>
      <c r="B390" s="108"/>
      <c r="C390" s="108"/>
      <c r="D390" s="108"/>
      <c r="E390" s="108"/>
      <c r="F390" s="108"/>
      <c r="G390" s="108"/>
    </row>
    <row r="391" spans="1:7" ht="15.75">
      <c r="A391" s="108"/>
      <c r="B391" s="108"/>
      <c r="C391" s="108"/>
      <c r="D391" s="108"/>
      <c r="E391" s="108"/>
      <c r="F391" s="108"/>
      <c r="G391" s="108"/>
    </row>
    <row r="392" spans="1:7" ht="15.75">
      <c r="A392" s="108"/>
      <c r="B392" s="108"/>
      <c r="C392" s="108"/>
      <c r="D392" s="108"/>
      <c r="E392" s="108"/>
      <c r="F392" s="108"/>
      <c r="G392" s="108"/>
    </row>
    <row r="393" spans="1:7" ht="15.75">
      <c r="A393" s="108"/>
      <c r="B393" s="108"/>
      <c r="C393" s="108"/>
      <c r="D393" s="108"/>
      <c r="E393" s="108"/>
      <c r="F393" s="108"/>
      <c r="G393" s="108"/>
    </row>
    <row r="394" spans="1:7" ht="15.75">
      <c r="A394" s="108"/>
      <c r="B394" s="108"/>
      <c r="C394" s="108"/>
      <c r="D394" s="108"/>
      <c r="E394" s="108"/>
      <c r="F394" s="108"/>
      <c r="G394" s="108"/>
    </row>
    <row r="395" spans="1:7" ht="15.75">
      <c r="A395" s="108"/>
      <c r="B395" s="108"/>
      <c r="C395" s="108"/>
      <c r="D395" s="108"/>
      <c r="E395" s="108"/>
      <c r="F395" s="108"/>
      <c r="G395" s="108"/>
    </row>
    <row r="396" spans="1:7" ht="15.75">
      <c r="A396" s="108"/>
      <c r="B396" s="108"/>
      <c r="C396" s="108"/>
      <c r="D396" s="108"/>
      <c r="E396" s="108"/>
      <c r="F396" s="108"/>
      <c r="G396" s="108"/>
    </row>
    <row r="397" spans="1:7" ht="15.75">
      <c r="A397" s="108"/>
      <c r="B397" s="108"/>
      <c r="C397" s="108"/>
      <c r="D397" s="108"/>
      <c r="E397" s="108"/>
      <c r="F397" s="108"/>
      <c r="G397" s="108"/>
    </row>
    <row r="398" spans="1:7" ht="15.75">
      <c r="A398" s="108"/>
      <c r="B398" s="108"/>
      <c r="C398" s="108"/>
      <c r="D398" s="108"/>
      <c r="E398" s="108"/>
      <c r="F398" s="108"/>
      <c r="G398" s="108"/>
    </row>
    <row r="399" spans="1:7" ht="15.75">
      <c r="A399" s="108"/>
      <c r="B399" s="108"/>
      <c r="C399" s="108"/>
      <c r="D399" s="108"/>
      <c r="E399" s="108"/>
      <c r="F399" s="108"/>
      <c r="G399" s="108"/>
    </row>
    <row r="400" spans="1:7" ht="15.75">
      <c r="A400" s="108"/>
      <c r="B400" s="108"/>
      <c r="C400" s="108"/>
      <c r="D400" s="108"/>
      <c r="E400" s="108"/>
      <c r="F400" s="108"/>
      <c r="G400" s="108"/>
    </row>
    <row r="401" spans="1:7" ht="15.75">
      <c r="A401" s="108"/>
      <c r="B401" s="108"/>
      <c r="C401" s="108"/>
      <c r="D401" s="108"/>
      <c r="E401" s="108"/>
      <c r="F401" s="108"/>
      <c r="G401" s="108"/>
    </row>
    <row r="402" spans="1:7" ht="15.75">
      <c r="A402" s="108"/>
      <c r="B402" s="108"/>
      <c r="C402" s="108"/>
      <c r="D402" s="108"/>
      <c r="E402" s="108"/>
      <c r="F402" s="108"/>
      <c r="G402" s="108"/>
    </row>
    <row r="403" spans="1:7" ht="15.75">
      <c r="A403" s="108"/>
      <c r="B403" s="108"/>
      <c r="C403" s="108"/>
      <c r="D403" s="108"/>
      <c r="E403" s="108"/>
      <c r="F403" s="108"/>
      <c r="G403" s="108"/>
    </row>
    <row r="404" spans="1:7" ht="15.75">
      <c r="A404" s="108"/>
      <c r="B404" s="108"/>
      <c r="C404" s="108"/>
      <c r="D404" s="108"/>
      <c r="E404" s="108"/>
      <c r="F404" s="108"/>
      <c r="G404" s="108"/>
    </row>
    <row r="405" spans="1:7" ht="15.75">
      <c r="A405" s="108"/>
      <c r="B405" s="108"/>
      <c r="C405" s="108"/>
      <c r="D405" s="108"/>
      <c r="E405" s="108"/>
      <c r="F405" s="108"/>
      <c r="G405" s="108"/>
    </row>
    <row r="406" spans="1:7" ht="15.75">
      <c r="A406" s="108"/>
      <c r="B406" s="108"/>
      <c r="C406" s="108"/>
      <c r="D406" s="108"/>
      <c r="E406" s="108"/>
      <c r="F406" s="108"/>
      <c r="G406" s="108"/>
    </row>
    <row r="407" spans="1:7" ht="15.75">
      <c r="A407" s="108"/>
      <c r="B407" s="108"/>
      <c r="C407" s="108"/>
      <c r="D407" s="108"/>
      <c r="E407" s="108"/>
      <c r="F407" s="108"/>
      <c r="G407" s="108"/>
    </row>
    <row r="408" spans="1:7" ht="15.75">
      <c r="A408" s="108"/>
      <c r="B408" s="108"/>
      <c r="C408" s="108"/>
      <c r="D408" s="108"/>
      <c r="E408" s="108"/>
      <c r="F408" s="108"/>
      <c r="G408" s="108"/>
    </row>
    <row r="409" spans="1:7" ht="15.75">
      <c r="A409" s="108"/>
      <c r="B409" s="108"/>
      <c r="C409" s="108"/>
      <c r="D409" s="108"/>
      <c r="E409" s="108"/>
      <c r="F409" s="108"/>
      <c r="G409" s="108"/>
    </row>
    <row r="410" spans="1:7" ht="15.75">
      <c r="A410" s="108"/>
      <c r="B410" s="108"/>
      <c r="C410" s="108"/>
      <c r="D410" s="108"/>
      <c r="E410" s="108"/>
      <c r="F410" s="108"/>
      <c r="G410" s="108"/>
    </row>
    <row r="411" spans="1:7" ht="15.75">
      <c r="A411" s="108"/>
      <c r="B411" s="108"/>
      <c r="C411" s="108"/>
      <c r="D411" s="108"/>
      <c r="E411" s="108"/>
      <c r="F411" s="108"/>
      <c r="G411" s="108"/>
    </row>
    <row r="412" spans="1:7" ht="15.75">
      <c r="A412" s="108"/>
      <c r="B412" s="108"/>
      <c r="C412" s="108"/>
      <c r="D412" s="108"/>
      <c r="E412" s="108"/>
      <c r="F412" s="108"/>
      <c r="G412" s="108"/>
    </row>
    <row r="413" spans="1:7" ht="15.75">
      <c r="A413" s="108"/>
      <c r="B413" s="108"/>
      <c r="C413" s="108"/>
      <c r="D413" s="108"/>
      <c r="E413" s="108"/>
      <c r="F413" s="108"/>
      <c r="G413" s="108"/>
    </row>
    <row r="414" spans="1:7" ht="15.75">
      <c r="A414" s="108"/>
      <c r="B414" s="108"/>
      <c r="C414" s="108"/>
      <c r="D414" s="108"/>
      <c r="E414" s="108"/>
      <c r="F414" s="108"/>
      <c r="G414" s="108"/>
    </row>
    <row r="415" spans="1:7" ht="15.75">
      <c r="A415" s="108"/>
      <c r="B415" s="108"/>
      <c r="C415" s="108"/>
      <c r="D415" s="108"/>
      <c r="E415" s="108"/>
      <c r="F415" s="108"/>
      <c r="G415" s="108"/>
    </row>
    <row r="416" spans="1:7" ht="15.75">
      <c r="A416" s="108"/>
      <c r="B416" s="108"/>
      <c r="C416" s="108"/>
      <c r="D416" s="108"/>
      <c r="E416" s="108"/>
      <c r="F416" s="108"/>
      <c r="G416" s="108"/>
    </row>
    <row r="417" spans="1:7" ht="15.75">
      <c r="A417" s="108"/>
      <c r="B417" s="108"/>
      <c r="C417" s="108"/>
      <c r="D417" s="108"/>
      <c r="E417" s="108"/>
      <c r="F417" s="108"/>
      <c r="G417" s="108"/>
    </row>
    <row r="418" spans="1:7" ht="15.75">
      <c r="A418" s="108"/>
      <c r="B418" s="108"/>
      <c r="C418" s="108"/>
      <c r="D418" s="108"/>
      <c r="E418" s="108"/>
      <c r="F418" s="108"/>
      <c r="G418" s="108"/>
    </row>
    <row r="419" spans="1:7" ht="15.75">
      <c r="A419" s="108"/>
      <c r="B419" s="108"/>
      <c r="C419" s="108"/>
      <c r="D419" s="108"/>
      <c r="E419" s="108"/>
      <c r="F419" s="108"/>
      <c r="G419" s="108"/>
    </row>
    <row r="420" spans="1:7" ht="15.75">
      <c r="A420" s="108"/>
      <c r="B420" s="108"/>
      <c r="C420" s="108"/>
      <c r="D420" s="108"/>
      <c r="E420" s="108"/>
      <c r="F420" s="108"/>
      <c r="G420" s="108"/>
    </row>
    <row r="421" spans="1:7" ht="15.75">
      <c r="A421" s="108"/>
      <c r="B421" s="108"/>
      <c r="C421" s="108"/>
      <c r="D421" s="108"/>
      <c r="E421" s="108"/>
      <c r="F421" s="108"/>
      <c r="G421" s="108"/>
    </row>
    <row r="422" spans="1:7" ht="15.75">
      <c r="A422" s="108"/>
      <c r="B422" s="108"/>
      <c r="C422" s="108"/>
      <c r="D422" s="108"/>
      <c r="E422" s="108"/>
      <c r="F422" s="108"/>
      <c r="G422" s="108"/>
    </row>
    <row r="423" spans="1:7" ht="15.75">
      <c r="A423" s="108"/>
      <c r="B423" s="108"/>
      <c r="C423" s="108"/>
      <c r="D423" s="108"/>
      <c r="E423" s="108"/>
      <c r="F423" s="108"/>
      <c r="G423" s="108"/>
    </row>
    <row r="424" spans="1:7" ht="15.75">
      <c r="A424" s="108"/>
      <c r="B424" s="108"/>
      <c r="C424" s="108"/>
      <c r="D424" s="108"/>
      <c r="E424" s="108"/>
      <c r="F424" s="108"/>
      <c r="G424" s="108"/>
    </row>
    <row r="425" spans="1:7" ht="15.75">
      <c r="A425" s="108"/>
      <c r="B425" s="108"/>
      <c r="C425" s="108"/>
      <c r="D425" s="108"/>
      <c r="E425" s="108"/>
      <c r="F425" s="108"/>
      <c r="G425" s="108"/>
    </row>
    <row r="426" spans="1:7" ht="15.75">
      <c r="A426" s="108"/>
      <c r="B426" s="108"/>
      <c r="C426" s="108"/>
      <c r="D426" s="108"/>
      <c r="E426" s="108"/>
      <c r="F426" s="108"/>
      <c r="G426" s="108"/>
    </row>
    <row r="427" spans="1:7" ht="15.75">
      <c r="A427" s="108"/>
      <c r="B427" s="108"/>
      <c r="C427" s="108"/>
      <c r="D427" s="108"/>
      <c r="E427" s="108"/>
      <c r="F427" s="108"/>
      <c r="G427" s="108"/>
    </row>
    <row r="428" spans="1:7" ht="15.75">
      <c r="A428" s="108"/>
      <c r="B428" s="108"/>
      <c r="C428" s="108"/>
      <c r="D428" s="108"/>
      <c r="E428" s="108"/>
      <c r="F428" s="108"/>
      <c r="G428" s="108"/>
    </row>
    <row r="429" spans="1:7" ht="15.75">
      <c r="A429" s="108"/>
      <c r="B429" s="108"/>
      <c r="C429" s="108"/>
      <c r="D429" s="108"/>
      <c r="E429" s="108"/>
      <c r="F429" s="108"/>
      <c r="G429" s="108"/>
    </row>
    <row r="430" spans="1:7" ht="15.75">
      <c r="A430" s="108"/>
      <c r="B430" s="108"/>
      <c r="C430" s="108"/>
      <c r="D430" s="108"/>
      <c r="E430" s="108"/>
      <c r="F430" s="108"/>
      <c r="G430" s="108"/>
    </row>
    <row r="431" spans="1:7" ht="15.75">
      <c r="A431" s="108"/>
      <c r="B431" s="108"/>
      <c r="C431" s="108"/>
      <c r="D431" s="108"/>
      <c r="E431" s="108"/>
      <c r="F431" s="108"/>
      <c r="G431" s="108"/>
    </row>
    <row r="432" spans="1:7" ht="15.75">
      <c r="A432" s="108"/>
      <c r="B432" s="108"/>
      <c r="C432" s="108"/>
      <c r="D432" s="108"/>
      <c r="E432" s="108"/>
      <c r="F432" s="108"/>
      <c r="G432" s="108"/>
    </row>
    <row r="433" spans="1:7" ht="15.75">
      <c r="A433" s="108"/>
      <c r="B433" s="108"/>
      <c r="C433" s="108"/>
      <c r="D433" s="108"/>
      <c r="E433" s="108"/>
      <c r="F433" s="108"/>
      <c r="G433" s="108"/>
    </row>
    <row r="434" spans="1:7" ht="15.75">
      <c r="A434" s="108"/>
      <c r="B434" s="108"/>
      <c r="C434" s="108"/>
      <c r="D434" s="108"/>
      <c r="E434" s="108"/>
      <c r="F434" s="108"/>
      <c r="G434" s="108"/>
    </row>
    <row r="435" spans="1:7" ht="15.75">
      <c r="A435" s="108"/>
      <c r="B435" s="108"/>
      <c r="C435" s="108"/>
      <c r="D435" s="108"/>
      <c r="E435" s="108"/>
      <c r="F435" s="108"/>
      <c r="G435" s="108"/>
    </row>
    <row r="436" spans="1:7" ht="15.75">
      <c r="A436" s="108"/>
      <c r="B436" s="108"/>
      <c r="C436" s="108"/>
      <c r="D436" s="108"/>
      <c r="E436" s="108"/>
      <c r="F436" s="108"/>
      <c r="G436" s="108"/>
    </row>
    <row r="437" spans="1:7" ht="15.75">
      <c r="A437" s="108"/>
      <c r="B437" s="108"/>
      <c r="C437" s="108"/>
      <c r="D437" s="108"/>
      <c r="E437" s="108"/>
      <c r="F437" s="108"/>
      <c r="G437" s="108"/>
    </row>
    <row r="438" spans="1:7" ht="15.75">
      <c r="A438" s="108"/>
      <c r="B438" s="108"/>
      <c r="C438" s="108"/>
      <c r="D438" s="108"/>
      <c r="E438" s="108"/>
      <c r="F438" s="108"/>
      <c r="G438" s="108"/>
    </row>
    <row r="439" spans="1:7" ht="15.75">
      <c r="A439" s="108"/>
      <c r="B439" s="108"/>
      <c r="C439" s="108"/>
      <c r="D439" s="108"/>
      <c r="E439" s="108"/>
      <c r="F439" s="108"/>
      <c r="G439" s="108"/>
    </row>
    <row r="440" spans="1:7" ht="15.75">
      <c r="A440" s="108"/>
      <c r="B440" s="108"/>
      <c r="C440" s="108"/>
      <c r="D440" s="108"/>
      <c r="E440" s="108"/>
      <c r="F440" s="108"/>
      <c r="G440" s="108"/>
    </row>
    <row r="441" spans="1:7" ht="15.75">
      <c r="A441" s="108"/>
      <c r="B441" s="108"/>
      <c r="C441" s="108"/>
      <c r="D441" s="108"/>
      <c r="E441" s="108"/>
      <c r="F441" s="108"/>
      <c r="G441" s="108"/>
    </row>
    <row r="442" spans="1:7" ht="15.75">
      <c r="A442" s="108"/>
      <c r="B442" s="108"/>
      <c r="C442" s="108"/>
      <c r="D442" s="108"/>
      <c r="E442" s="108"/>
      <c r="F442" s="108"/>
      <c r="G442" s="108"/>
    </row>
    <row r="443" spans="1:7" ht="15.75">
      <c r="A443" s="108"/>
      <c r="B443" s="108"/>
      <c r="C443" s="108"/>
      <c r="D443" s="108"/>
      <c r="E443" s="108"/>
      <c r="F443" s="108"/>
      <c r="G443" s="108"/>
    </row>
    <row r="444" spans="1:7" ht="15.75">
      <c r="A444" s="108"/>
      <c r="B444" s="108"/>
      <c r="C444" s="108"/>
      <c r="D444" s="108"/>
      <c r="E444" s="108"/>
      <c r="F444" s="108"/>
      <c r="G444" s="108"/>
    </row>
    <row r="445" spans="1:7" ht="15.75">
      <c r="A445" s="108"/>
      <c r="B445" s="108"/>
      <c r="C445" s="108"/>
      <c r="D445" s="108"/>
      <c r="E445" s="108"/>
      <c r="F445" s="108"/>
      <c r="G445" s="108"/>
    </row>
    <row r="446" spans="1:7" ht="15.75">
      <c r="A446" s="108"/>
      <c r="B446" s="108"/>
      <c r="C446" s="108"/>
      <c r="D446" s="108"/>
      <c r="E446" s="108"/>
      <c r="F446" s="108"/>
      <c r="G446" s="108"/>
    </row>
    <row r="447" spans="1:7" ht="15.75">
      <c r="A447" s="108"/>
      <c r="B447" s="108"/>
      <c r="C447" s="108"/>
      <c r="D447" s="108"/>
      <c r="E447" s="108"/>
      <c r="F447" s="108"/>
      <c r="G447" s="108"/>
    </row>
    <row r="448" spans="1:7" ht="15.75">
      <c r="A448" s="108"/>
      <c r="B448" s="108"/>
      <c r="C448" s="108"/>
      <c r="D448" s="108"/>
      <c r="E448" s="108"/>
      <c r="F448" s="108"/>
      <c r="G448" s="108"/>
    </row>
    <row r="449" spans="1:7" ht="15.75">
      <c r="A449" s="108"/>
      <c r="B449" s="108"/>
      <c r="C449" s="108"/>
      <c r="D449" s="108"/>
      <c r="E449" s="108"/>
      <c r="F449" s="108"/>
      <c r="G449" s="108"/>
    </row>
    <row r="450" spans="1:7" ht="15.75">
      <c r="A450" s="108"/>
      <c r="B450" s="108"/>
      <c r="C450" s="108"/>
      <c r="D450" s="108"/>
      <c r="E450" s="108"/>
      <c r="F450" s="108"/>
      <c r="G450" s="108"/>
    </row>
    <row r="451" spans="1:7" ht="15.75">
      <c r="A451" s="108"/>
      <c r="B451" s="108"/>
      <c r="C451" s="108"/>
      <c r="D451" s="108"/>
      <c r="E451" s="108"/>
      <c r="F451" s="108"/>
      <c r="G451" s="108"/>
    </row>
    <row r="452" spans="1:7" ht="15.75">
      <c r="A452" s="108"/>
      <c r="B452" s="108"/>
      <c r="C452" s="108"/>
      <c r="D452" s="108"/>
      <c r="E452" s="108"/>
      <c r="F452" s="108"/>
      <c r="G452" s="108"/>
    </row>
    <row r="453" spans="1:7" ht="15.75">
      <c r="A453" s="108"/>
      <c r="B453" s="108"/>
      <c r="C453" s="108"/>
      <c r="D453" s="108"/>
      <c r="E453" s="108"/>
      <c r="F453" s="108"/>
      <c r="G453" s="108"/>
    </row>
    <row r="454" spans="1:7" ht="15.75">
      <c r="A454" s="108"/>
      <c r="B454" s="108"/>
      <c r="C454" s="108"/>
      <c r="D454" s="108"/>
      <c r="E454" s="108"/>
      <c r="F454" s="108"/>
      <c r="G454" s="108"/>
    </row>
    <row r="455" spans="1:7" ht="15.75">
      <c r="A455" s="108"/>
      <c r="B455" s="108"/>
      <c r="C455" s="108"/>
      <c r="D455" s="108"/>
      <c r="E455" s="108"/>
      <c r="F455" s="108"/>
      <c r="G455" s="108"/>
    </row>
    <row r="456" spans="1:7" ht="15.75">
      <c r="A456" s="108"/>
      <c r="B456" s="108"/>
      <c r="C456" s="108"/>
      <c r="D456" s="108"/>
      <c r="E456" s="108"/>
      <c r="F456" s="108"/>
      <c r="G456" s="108"/>
    </row>
    <row r="457" spans="1:7" ht="15.75">
      <c r="A457" s="108"/>
      <c r="B457" s="108"/>
      <c r="C457" s="108"/>
      <c r="D457" s="108"/>
      <c r="E457" s="108"/>
      <c r="F457" s="108"/>
      <c r="G457" s="108"/>
    </row>
    <row r="458" spans="1:7" ht="15.75">
      <c r="A458" s="108"/>
      <c r="B458" s="108"/>
      <c r="C458" s="108"/>
      <c r="D458" s="108"/>
      <c r="E458" s="108"/>
      <c r="F458" s="108"/>
      <c r="G458" s="108"/>
    </row>
    <row r="459" spans="1:7" ht="15.75">
      <c r="A459" s="108"/>
      <c r="B459" s="108"/>
      <c r="C459" s="108"/>
      <c r="D459" s="108"/>
      <c r="E459" s="108"/>
      <c r="F459" s="108"/>
      <c r="G459" s="108"/>
    </row>
    <row r="460" spans="1:7" ht="15.75">
      <c r="A460" s="108"/>
      <c r="B460" s="108"/>
      <c r="C460" s="108"/>
      <c r="D460" s="108"/>
      <c r="E460" s="108"/>
      <c r="F460" s="108"/>
      <c r="G460" s="108"/>
    </row>
    <row r="461" spans="1:7" ht="15.75">
      <c r="A461" s="108"/>
      <c r="B461" s="108"/>
      <c r="C461" s="108"/>
      <c r="D461" s="108"/>
      <c r="E461" s="108"/>
      <c r="F461" s="108"/>
      <c r="G461" s="108"/>
    </row>
    <row r="462" spans="1:7" ht="15.75">
      <c r="A462" s="108"/>
      <c r="B462" s="108"/>
      <c r="C462" s="108"/>
      <c r="D462" s="108"/>
      <c r="E462" s="108"/>
      <c r="F462" s="108"/>
      <c r="G462" s="108"/>
    </row>
    <row r="463" spans="1:7" ht="15.75">
      <c r="A463" s="108"/>
      <c r="B463" s="108"/>
      <c r="C463" s="108"/>
      <c r="D463" s="108"/>
      <c r="E463" s="108"/>
      <c r="F463" s="108"/>
      <c r="G463" s="108"/>
    </row>
    <row r="464" spans="1:7" ht="15.75">
      <c r="A464" s="108"/>
      <c r="B464" s="108"/>
      <c r="C464" s="108"/>
      <c r="D464" s="108"/>
      <c r="E464" s="108"/>
      <c r="F464" s="108"/>
      <c r="G464" s="108"/>
    </row>
    <row r="465" spans="1:7" ht="15.75">
      <c r="A465" s="108"/>
      <c r="B465" s="108"/>
      <c r="C465" s="108"/>
      <c r="D465" s="108"/>
      <c r="E465" s="108"/>
      <c r="F465" s="108"/>
      <c r="G465" s="108"/>
    </row>
    <row r="466" spans="1:7" ht="15.75">
      <c r="A466" s="108"/>
      <c r="B466" s="108"/>
      <c r="C466" s="108"/>
      <c r="D466" s="108"/>
      <c r="E466" s="108"/>
      <c r="F466" s="108"/>
      <c r="G466" s="108"/>
    </row>
    <row r="467" spans="1:7" ht="15.75">
      <c r="A467" s="108"/>
      <c r="B467" s="108"/>
      <c r="C467" s="108"/>
      <c r="D467" s="108"/>
      <c r="E467" s="108"/>
      <c r="F467" s="108"/>
      <c r="G467" s="108"/>
    </row>
    <row r="468" spans="1:7" ht="15.75">
      <c r="A468" s="108"/>
      <c r="B468" s="108"/>
      <c r="C468" s="108"/>
      <c r="D468" s="108"/>
      <c r="E468" s="108"/>
      <c r="F468" s="108"/>
      <c r="G468" s="108"/>
    </row>
    <row r="469" spans="1:7" ht="15.75">
      <c r="A469" s="108"/>
      <c r="B469" s="108"/>
      <c r="C469" s="108"/>
      <c r="D469" s="108"/>
      <c r="E469" s="108"/>
      <c r="F469" s="108"/>
      <c r="G469" s="108"/>
    </row>
    <row r="470" spans="1:7" ht="15.75">
      <c r="A470" s="108"/>
      <c r="B470" s="108"/>
      <c r="C470" s="108"/>
      <c r="D470" s="108"/>
      <c r="E470" s="108"/>
      <c r="F470" s="108"/>
      <c r="G470" s="108"/>
    </row>
    <row r="471" spans="1:7" ht="15.75">
      <c r="A471" s="108"/>
      <c r="B471" s="108"/>
      <c r="C471" s="108"/>
      <c r="D471" s="108"/>
      <c r="E471" s="108"/>
      <c r="F471" s="108"/>
      <c r="G471" s="108"/>
    </row>
    <row r="472" spans="1:7" ht="15.75">
      <c r="A472" s="108"/>
      <c r="B472" s="108"/>
      <c r="C472" s="108"/>
      <c r="D472" s="108"/>
      <c r="E472" s="108"/>
      <c r="F472" s="108"/>
      <c r="G472" s="108"/>
    </row>
    <row r="473" spans="1:7" ht="15.75">
      <c r="A473" s="108"/>
      <c r="B473" s="108"/>
      <c r="C473" s="108"/>
      <c r="D473" s="108"/>
      <c r="E473" s="108"/>
      <c r="F473" s="108"/>
      <c r="G473" s="108"/>
    </row>
    <row r="474" spans="1:7" ht="15.75">
      <c r="A474" s="108"/>
      <c r="B474" s="108"/>
      <c r="C474" s="108"/>
      <c r="D474" s="108"/>
      <c r="E474" s="108"/>
      <c r="F474" s="108"/>
      <c r="G474" s="108"/>
    </row>
    <row r="475" spans="1:7" ht="15.75">
      <c r="A475" s="108"/>
      <c r="B475" s="108"/>
      <c r="C475" s="108"/>
      <c r="D475" s="108"/>
      <c r="E475" s="108"/>
      <c r="F475" s="108"/>
      <c r="G475" s="108"/>
    </row>
    <row r="476" spans="1:7" ht="15.75">
      <c r="A476" s="108"/>
      <c r="B476" s="108"/>
      <c r="C476" s="108"/>
      <c r="D476" s="108"/>
      <c r="E476" s="108"/>
      <c r="F476" s="108"/>
      <c r="G476" s="108"/>
    </row>
    <row r="477" spans="1:7" ht="15.75">
      <c r="A477" s="108"/>
      <c r="B477" s="108"/>
      <c r="C477" s="108"/>
      <c r="D477" s="108"/>
      <c r="E477" s="108"/>
      <c r="F477" s="108"/>
      <c r="G477" s="108"/>
    </row>
    <row r="478" spans="1:7" ht="15.75">
      <c r="A478" s="108"/>
      <c r="B478" s="108"/>
      <c r="C478" s="108"/>
      <c r="D478" s="108"/>
      <c r="E478" s="108"/>
      <c r="F478" s="108"/>
      <c r="G478" s="108"/>
    </row>
    <row r="479" spans="1:7" ht="15.75">
      <c r="A479" s="108"/>
      <c r="B479" s="108"/>
      <c r="C479" s="108"/>
      <c r="D479" s="108"/>
      <c r="E479" s="108"/>
      <c r="F479" s="108"/>
      <c r="G479" s="108"/>
    </row>
    <row r="480" spans="1:7" ht="15.75">
      <c r="A480" s="108"/>
      <c r="B480" s="108"/>
      <c r="C480" s="108"/>
      <c r="D480" s="108"/>
      <c r="E480" s="108"/>
      <c r="F480" s="108"/>
      <c r="G480" s="108"/>
    </row>
    <row r="481" spans="1:7" ht="15.75">
      <c r="A481" s="108"/>
      <c r="B481" s="108"/>
      <c r="C481" s="108"/>
      <c r="D481" s="108"/>
      <c r="E481" s="108"/>
      <c r="F481" s="108"/>
      <c r="G481" s="108"/>
    </row>
    <row r="482" spans="1:7" ht="15.75">
      <c r="A482" s="108"/>
      <c r="B482" s="108"/>
      <c r="C482" s="108"/>
      <c r="D482" s="108"/>
      <c r="E482" s="108"/>
      <c r="F482" s="108"/>
      <c r="G482" s="108"/>
    </row>
    <row r="483" spans="1:7" ht="15.75">
      <c r="A483" s="108"/>
      <c r="B483" s="108"/>
      <c r="C483" s="108"/>
      <c r="D483" s="108"/>
      <c r="E483" s="108"/>
      <c r="F483" s="108"/>
      <c r="G483" s="108"/>
    </row>
    <row r="484" spans="1:7" ht="15.75">
      <c r="A484" s="108"/>
      <c r="B484" s="108"/>
      <c r="C484" s="108"/>
      <c r="D484" s="108"/>
      <c r="E484" s="108"/>
      <c r="F484" s="108"/>
      <c r="G484" s="108"/>
    </row>
    <row r="485" spans="1:7" ht="15.75">
      <c r="A485" s="108"/>
      <c r="B485" s="108"/>
      <c r="C485" s="108"/>
      <c r="D485" s="108"/>
      <c r="E485" s="108"/>
      <c r="F485" s="108"/>
      <c r="G485" s="108"/>
    </row>
    <row r="486" spans="1:7" ht="15.75">
      <c r="A486" s="108"/>
      <c r="B486" s="108"/>
      <c r="C486" s="108"/>
      <c r="D486" s="108"/>
      <c r="E486" s="108"/>
      <c r="F486" s="108"/>
      <c r="G486" s="108"/>
    </row>
    <row r="487" spans="1:7" ht="15.75">
      <c r="A487" s="108"/>
      <c r="B487" s="108"/>
      <c r="C487" s="108"/>
      <c r="D487" s="108"/>
      <c r="E487" s="108"/>
      <c r="F487" s="108"/>
      <c r="G487" s="108"/>
    </row>
    <row r="488" spans="1:7" ht="15.75">
      <c r="A488" s="108"/>
      <c r="B488" s="108"/>
      <c r="C488" s="108"/>
      <c r="D488" s="108"/>
      <c r="E488" s="108"/>
      <c r="F488" s="108"/>
      <c r="G488" s="108"/>
    </row>
    <row r="489" spans="1:7" ht="15.75">
      <c r="A489" s="108"/>
      <c r="B489" s="108"/>
      <c r="C489" s="108"/>
      <c r="D489" s="108"/>
      <c r="E489" s="108"/>
      <c r="F489" s="108"/>
      <c r="G489" s="108"/>
    </row>
    <row r="490" spans="1:7" ht="15.75">
      <c r="A490" s="108"/>
      <c r="B490" s="108"/>
      <c r="C490" s="108"/>
      <c r="D490" s="108"/>
      <c r="E490" s="108"/>
      <c r="F490" s="108"/>
      <c r="G490" s="108"/>
    </row>
    <row r="491" spans="1:7" ht="15.75">
      <c r="A491" s="108"/>
      <c r="B491" s="108"/>
      <c r="C491" s="108"/>
      <c r="D491" s="108"/>
      <c r="E491" s="108"/>
      <c r="F491" s="108"/>
      <c r="G491" s="108"/>
    </row>
    <row r="492" spans="1:7" ht="15.75">
      <c r="A492" s="108"/>
      <c r="B492" s="108"/>
      <c r="C492" s="108"/>
      <c r="D492" s="108"/>
      <c r="E492" s="108"/>
      <c r="F492" s="108"/>
      <c r="G492" s="108"/>
    </row>
    <row r="493" spans="1:7" ht="15.75">
      <c r="A493" s="108"/>
      <c r="B493" s="108"/>
      <c r="C493" s="108"/>
      <c r="D493" s="108"/>
      <c r="E493" s="108"/>
      <c r="F493" s="108"/>
      <c r="G493" s="108"/>
    </row>
    <row r="494" spans="1:7" ht="15.75">
      <c r="A494" s="108"/>
      <c r="B494" s="108"/>
      <c r="C494" s="108"/>
      <c r="D494" s="108"/>
      <c r="E494" s="108"/>
      <c r="F494" s="108"/>
      <c r="G494" s="108"/>
    </row>
    <row r="495" spans="1:7" ht="15.75">
      <c r="A495" s="108"/>
      <c r="B495" s="108"/>
      <c r="C495" s="108"/>
      <c r="D495" s="108"/>
      <c r="E495" s="108"/>
      <c r="F495" s="108"/>
      <c r="G495" s="108"/>
    </row>
    <row r="496" spans="1:7" ht="15.75">
      <c r="A496" s="108"/>
      <c r="B496" s="108"/>
      <c r="C496" s="108"/>
      <c r="D496" s="108"/>
      <c r="E496" s="108"/>
      <c r="F496" s="108"/>
      <c r="G496" s="108"/>
    </row>
    <row r="497" spans="1:7" ht="15.75">
      <c r="A497" s="108"/>
      <c r="B497" s="108"/>
      <c r="C497" s="108"/>
      <c r="D497" s="108"/>
      <c r="E497" s="108"/>
      <c r="F497" s="108"/>
      <c r="G497" s="108"/>
    </row>
    <row r="498" spans="1:7" ht="15.75">
      <c r="A498" s="108"/>
      <c r="B498" s="108"/>
      <c r="C498" s="108"/>
      <c r="D498" s="108"/>
      <c r="E498" s="108"/>
      <c r="F498" s="108"/>
      <c r="G498" s="108"/>
    </row>
    <row r="499" spans="1:7" ht="15.75">
      <c r="A499" s="108"/>
      <c r="B499" s="108"/>
      <c r="C499" s="108"/>
      <c r="D499" s="108"/>
      <c r="E499" s="108"/>
      <c r="F499" s="108"/>
      <c r="G499" s="108"/>
    </row>
    <row r="500" spans="1:7" ht="15.75">
      <c r="A500" s="108"/>
      <c r="B500" s="108"/>
      <c r="C500" s="108"/>
      <c r="D500" s="108"/>
      <c r="E500" s="108"/>
      <c r="F500" s="108"/>
      <c r="G500" s="108"/>
    </row>
    <row r="501" spans="1:7" ht="15.75">
      <c r="A501" s="108"/>
      <c r="B501" s="108"/>
      <c r="C501" s="108"/>
      <c r="D501" s="108"/>
      <c r="E501" s="108"/>
      <c r="F501" s="108"/>
      <c r="G501" s="108"/>
    </row>
    <row r="502" spans="1:7" ht="15.75">
      <c r="A502" s="108"/>
      <c r="B502" s="108"/>
      <c r="C502" s="108"/>
      <c r="D502" s="108"/>
      <c r="E502" s="108"/>
      <c r="F502" s="108"/>
      <c r="G502" s="108"/>
    </row>
    <row r="503" spans="1:7" ht="15.75">
      <c r="A503" s="108"/>
      <c r="B503" s="108"/>
      <c r="C503" s="108"/>
      <c r="D503" s="108"/>
      <c r="E503" s="108"/>
      <c r="F503" s="108"/>
      <c r="G503" s="108"/>
    </row>
    <row r="504" spans="1:7" ht="15.75">
      <c r="A504" s="108"/>
      <c r="B504" s="108"/>
      <c r="C504" s="108"/>
      <c r="D504" s="108"/>
      <c r="E504" s="108"/>
      <c r="F504" s="108"/>
      <c r="G504" s="108"/>
    </row>
    <row r="505" spans="1:7" ht="15.75">
      <c r="A505" s="108"/>
      <c r="B505" s="108"/>
      <c r="C505" s="108"/>
      <c r="D505" s="108"/>
      <c r="E505" s="108"/>
      <c r="F505" s="108"/>
      <c r="G505" s="108"/>
    </row>
    <row r="506" spans="1:7" ht="15.75">
      <c r="A506" s="108"/>
      <c r="B506" s="108"/>
      <c r="C506" s="108"/>
      <c r="D506" s="108"/>
      <c r="E506" s="108"/>
      <c r="F506" s="108"/>
      <c r="G506" s="108"/>
    </row>
    <row r="507" spans="1:7" ht="15.75">
      <c r="A507" s="108"/>
      <c r="B507" s="108"/>
      <c r="C507" s="108"/>
      <c r="D507" s="108"/>
      <c r="E507" s="108"/>
      <c r="F507" s="108"/>
      <c r="G507" s="108"/>
    </row>
    <row r="508" spans="1:7" ht="15.75">
      <c r="A508" s="108"/>
      <c r="B508" s="108"/>
      <c r="C508" s="108"/>
      <c r="D508" s="108"/>
      <c r="E508" s="108"/>
      <c r="F508" s="108"/>
      <c r="G508" s="108"/>
    </row>
    <row r="509" spans="1:7" ht="15.75">
      <c r="A509" s="108"/>
      <c r="B509" s="108"/>
      <c r="C509" s="108"/>
      <c r="D509" s="108"/>
      <c r="E509" s="108"/>
      <c r="F509" s="108"/>
      <c r="G509" s="108"/>
    </row>
    <row r="510" spans="1:7" ht="15.75">
      <c r="A510" s="108"/>
      <c r="B510" s="108"/>
      <c r="C510" s="108"/>
      <c r="D510" s="108"/>
      <c r="E510" s="108"/>
      <c r="F510" s="108"/>
      <c r="G510" s="108"/>
    </row>
    <row r="511" spans="1:7" ht="15.75">
      <c r="A511" s="108"/>
      <c r="B511" s="108"/>
      <c r="C511" s="108"/>
      <c r="D511" s="108"/>
      <c r="E511" s="108"/>
      <c r="F511" s="108"/>
      <c r="G511" s="108"/>
    </row>
    <row r="512" spans="1:7" ht="15.75">
      <c r="A512" s="108"/>
      <c r="B512" s="108"/>
      <c r="C512" s="108"/>
      <c r="D512" s="108"/>
      <c r="E512" s="108"/>
      <c r="F512" s="108"/>
      <c r="G512" s="108"/>
    </row>
    <row r="513" spans="1:7" ht="15.75">
      <c r="A513" s="108"/>
      <c r="B513" s="108"/>
      <c r="C513" s="108"/>
      <c r="D513" s="108"/>
      <c r="E513" s="108"/>
      <c r="F513" s="108"/>
      <c r="G513" s="108"/>
    </row>
    <row r="514" spans="1:7" ht="15.75">
      <c r="A514" s="108"/>
      <c r="B514" s="108"/>
      <c r="C514" s="108"/>
      <c r="D514" s="108"/>
      <c r="E514" s="108"/>
      <c r="F514" s="108"/>
      <c r="G514" s="108"/>
    </row>
    <row r="515" spans="1:7" ht="15.75">
      <c r="A515" s="108"/>
      <c r="B515" s="108"/>
      <c r="C515" s="108"/>
      <c r="D515" s="108"/>
      <c r="E515" s="108"/>
      <c r="F515" s="108"/>
      <c r="G515" s="108"/>
    </row>
    <row r="516" spans="1:7" ht="15.75">
      <c r="A516" s="108"/>
      <c r="B516" s="108"/>
      <c r="C516" s="108"/>
      <c r="D516" s="108"/>
      <c r="E516" s="108"/>
      <c r="F516" s="108"/>
      <c r="G516" s="108"/>
    </row>
    <row r="517" spans="1:7" ht="15.75">
      <c r="A517" s="108"/>
      <c r="B517" s="108"/>
      <c r="C517" s="108"/>
      <c r="D517" s="108"/>
      <c r="E517" s="108"/>
      <c r="F517" s="108"/>
      <c r="G517" s="108"/>
    </row>
    <row r="518" spans="1:7" ht="15.75">
      <c r="A518" s="108"/>
      <c r="B518" s="108"/>
      <c r="C518" s="108"/>
      <c r="D518" s="108"/>
      <c r="E518" s="108"/>
      <c r="F518" s="108"/>
      <c r="G518" s="108"/>
    </row>
    <row r="519" spans="1:7" ht="15.75">
      <c r="A519" s="108"/>
      <c r="B519" s="108"/>
      <c r="C519" s="108"/>
      <c r="D519" s="108"/>
      <c r="E519" s="108"/>
      <c r="F519" s="108"/>
      <c r="G519" s="108"/>
    </row>
    <row r="520" spans="1:7" ht="15.75">
      <c r="A520" s="108"/>
      <c r="B520" s="108"/>
      <c r="C520" s="108"/>
      <c r="D520" s="108"/>
      <c r="E520" s="108"/>
      <c r="F520" s="108"/>
      <c r="G520" s="108"/>
    </row>
    <row r="521" spans="1:7" ht="15.75">
      <c r="A521" s="108"/>
      <c r="B521" s="108"/>
      <c r="C521" s="108"/>
      <c r="D521" s="108"/>
      <c r="E521" s="108"/>
      <c r="F521" s="108"/>
      <c r="G521" s="108"/>
    </row>
    <row r="522" spans="1:7" ht="15.75">
      <c r="A522" s="108"/>
      <c r="B522" s="108"/>
      <c r="C522" s="108"/>
      <c r="D522" s="108"/>
      <c r="E522" s="108"/>
      <c r="F522" s="108"/>
      <c r="G522" s="108"/>
    </row>
    <row r="523" spans="1:7" ht="15.75">
      <c r="A523" s="108"/>
      <c r="B523" s="108"/>
      <c r="C523" s="108"/>
      <c r="D523" s="108"/>
      <c r="E523" s="108"/>
      <c r="F523" s="108"/>
      <c r="G523" s="108"/>
    </row>
    <row r="524" spans="1:7" ht="15.75">
      <c r="A524" s="108"/>
      <c r="B524" s="108"/>
      <c r="C524" s="108"/>
      <c r="D524" s="108"/>
      <c r="E524" s="108"/>
      <c r="F524" s="108"/>
      <c r="G524" s="108"/>
    </row>
    <row r="525" spans="1:7" ht="15.75">
      <c r="A525" s="108"/>
      <c r="B525" s="108"/>
      <c r="C525" s="108"/>
      <c r="D525" s="108"/>
      <c r="E525" s="108"/>
      <c r="F525" s="108"/>
      <c r="G525" s="108"/>
    </row>
    <row r="526" spans="1:7" ht="15.75">
      <c r="A526" s="108"/>
      <c r="B526" s="108"/>
      <c r="C526" s="108"/>
      <c r="D526" s="108"/>
      <c r="E526" s="108"/>
      <c r="F526" s="108"/>
      <c r="G526" s="108"/>
    </row>
    <row r="527" spans="1:7" ht="15.75">
      <c r="A527" s="108"/>
      <c r="B527" s="108"/>
      <c r="C527" s="108"/>
      <c r="D527" s="108"/>
      <c r="E527" s="108"/>
      <c r="F527" s="108"/>
      <c r="G527" s="108"/>
    </row>
    <row r="528" spans="1:7" ht="15.75">
      <c r="A528" s="108"/>
      <c r="B528" s="108"/>
      <c r="C528" s="108"/>
      <c r="D528" s="108"/>
      <c r="E528" s="108"/>
      <c r="F528" s="108"/>
      <c r="G528" s="108"/>
    </row>
    <row r="529" spans="1:7" ht="15.75">
      <c r="A529" s="108"/>
      <c r="B529" s="108"/>
      <c r="C529" s="108"/>
      <c r="D529" s="108"/>
      <c r="E529" s="108"/>
      <c r="F529" s="108"/>
      <c r="G529" s="108"/>
    </row>
    <row r="530" spans="1:7" ht="15.75">
      <c r="A530" s="108"/>
      <c r="B530" s="108"/>
      <c r="C530" s="108"/>
      <c r="D530" s="108"/>
      <c r="E530" s="108"/>
      <c r="F530" s="108"/>
      <c r="G530" s="108"/>
    </row>
    <row r="531" spans="1:7" ht="15.75">
      <c r="A531" s="108"/>
      <c r="B531" s="108"/>
      <c r="C531" s="108"/>
      <c r="D531" s="108"/>
      <c r="E531" s="108"/>
      <c r="F531" s="108"/>
      <c r="G531" s="108"/>
    </row>
    <row r="532" spans="1:7" ht="15.75">
      <c r="A532" s="108"/>
      <c r="B532" s="108"/>
      <c r="C532" s="108"/>
      <c r="D532" s="108"/>
      <c r="E532" s="108"/>
      <c r="F532" s="108"/>
      <c r="G532" s="108"/>
    </row>
    <row r="533" spans="1:7" ht="15.75">
      <c r="A533" s="108"/>
      <c r="B533" s="108"/>
      <c r="C533" s="108"/>
      <c r="D533" s="108"/>
      <c r="E533" s="108"/>
      <c r="F533" s="108"/>
      <c r="G533" s="108"/>
    </row>
    <row r="534" spans="1:7" ht="15.75">
      <c r="A534" s="108"/>
      <c r="B534" s="108"/>
      <c r="C534" s="108"/>
      <c r="D534" s="108"/>
      <c r="E534" s="108"/>
      <c r="F534" s="108"/>
      <c r="G534" s="108"/>
    </row>
    <row r="535" spans="1:7" ht="15.75">
      <c r="A535" s="108"/>
      <c r="B535" s="108"/>
      <c r="C535" s="108"/>
      <c r="D535" s="108"/>
      <c r="E535" s="108"/>
      <c r="F535" s="108"/>
      <c r="G535" s="108"/>
    </row>
    <row r="536" spans="1:7" ht="15.75">
      <c r="A536" s="108"/>
      <c r="B536" s="108"/>
      <c r="C536" s="108"/>
      <c r="D536" s="108"/>
      <c r="E536" s="108"/>
      <c r="F536" s="108"/>
      <c r="G536" s="108"/>
    </row>
    <row r="537" spans="1:7" ht="15.75">
      <c r="A537" s="108"/>
      <c r="B537" s="108"/>
      <c r="C537" s="108"/>
      <c r="D537" s="108"/>
      <c r="E537" s="108"/>
      <c r="F537" s="108"/>
      <c r="G537" s="108"/>
    </row>
    <row r="538" spans="1:7" ht="15.75">
      <c r="A538" s="108"/>
      <c r="B538" s="108"/>
      <c r="C538" s="108"/>
      <c r="D538" s="108"/>
      <c r="E538" s="108"/>
      <c r="F538" s="108"/>
      <c r="G538" s="108"/>
    </row>
    <row r="539" spans="1:7" ht="15.75">
      <c r="A539" s="108"/>
      <c r="B539" s="108"/>
      <c r="C539" s="108"/>
      <c r="D539" s="108"/>
      <c r="E539" s="108"/>
      <c r="F539" s="108"/>
      <c r="G539" s="108"/>
    </row>
    <row r="540" spans="1:7" ht="15.75">
      <c r="A540" s="108"/>
      <c r="B540" s="108"/>
      <c r="C540" s="108"/>
      <c r="D540" s="108"/>
      <c r="E540" s="108"/>
      <c r="F540" s="108"/>
      <c r="G540" s="108"/>
    </row>
    <row r="541" spans="1:7" ht="15.75">
      <c r="A541" s="108"/>
      <c r="B541" s="108"/>
      <c r="C541" s="108"/>
      <c r="D541" s="108"/>
      <c r="E541" s="108"/>
      <c r="F541" s="108"/>
      <c r="G541" s="108"/>
    </row>
    <row r="542" spans="1:7" ht="15.75">
      <c r="A542" s="108"/>
      <c r="B542" s="108"/>
      <c r="C542" s="108"/>
      <c r="D542" s="108"/>
      <c r="E542" s="108"/>
      <c r="F542" s="108"/>
      <c r="G542" s="108"/>
    </row>
    <row r="543" spans="1:7" ht="15.75">
      <c r="A543" s="108"/>
      <c r="B543" s="108"/>
      <c r="C543" s="108"/>
      <c r="D543" s="108"/>
      <c r="E543" s="108"/>
      <c r="F543" s="108"/>
      <c r="G543" s="108"/>
    </row>
    <row r="544" spans="1:7" ht="15.75">
      <c r="A544" s="108"/>
      <c r="B544" s="108"/>
      <c r="C544" s="108"/>
      <c r="D544" s="108"/>
      <c r="E544" s="108"/>
      <c r="F544" s="108"/>
      <c r="G544" s="108"/>
    </row>
    <row r="545" spans="1:7" ht="15.75">
      <c r="A545" s="108"/>
      <c r="B545" s="108"/>
      <c r="C545" s="108"/>
      <c r="D545" s="108"/>
      <c r="E545" s="108"/>
      <c r="F545" s="108"/>
      <c r="G545" s="108"/>
    </row>
    <row r="546" spans="1:7" ht="15.75">
      <c r="A546" s="108"/>
      <c r="B546" s="108"/>
      <c r="C546" s="108"/>
      <c r="D546" s="108"/>
      <c r="E546" s="108"/>
      <c r="F546" s="108"/>
      <c r="G546" s="108"/>
    </row>
    <row r="547" spans="1:7" ht="15.75">
      <c r="A547" s="108"/>
      <c r="B547" s="108"/>
      <c r="C547" s="108"/>
      <c r="D547" s="108"/>
      <c r="E547" s="108"/>
      <c r="F547" s="108"/>
      <c r="G547" s="108"/>
    </row>
    <row r="548" spans="1:7" ht="15.75">
      <c r="A548" s="108"/>
      <c r="B548" s="108"/>
      <c r="C548" s="108"/>
      <c r="D548" s="108"/>
      <c r="E548" s="108"/>
      <c r="F548" s="108"/>
      <c r="G548" s="108"/>
    </row>
    <row r="549" spans="1:7" ht="15.75">
      <c r="A549" s="108"/>
      <c r="B549" s="108"/>
      <c r="C549" s="108"/>
      <c r="D549" s="108"/>
      <c r="E549" s="108"/>
      <c r="F549" s="108"/>
      <c r="G549" s="108"/>
    </row>
    <row r="550" spans="1:7" ht="15.75">
      <c r="A550" s="108"/>
      <c r="B550" s="108"/>
      <c r="C550" s="108"/>
      <c r="D550" s="108"/>
      <c r="E550" s="108"/>
      <c r="F550" s="108"/>
      <c r="G550" s="108"/>
    </row>
    <row r="551" spans="1:7" ht="15.75">
      <c r="A551" s="108"/>
      <c r="B551" s="108"/>
      <c r="C551" s="108"/>
      <c r="D551" s="108"/>
      <c r="E551" s="108"/>
      <c r="F551" s="108"/>
      <c r="G551" s="108"/>
    </row>
    <row r="552" spans="1:7" ht="15.75">
      <c r="A552" s="108"/>
      <c r="B552" s="108"/>
      <c r="C552" s="108"/>
      <c r="D552" s="108"/>
      <c r="E552" s="108"/>
      <c r="F552" s="108"/>
      <c r="G552" s="108"/>
    </row>
    <row r="553" spans="1:7" ht="15.75">
      <c r="A553" s="108"/>
      <c r="B553" s="108"/>
      <c r="C553" s="108"/>
      <c r="D553" s="108"/>
      <c r="E553" s="108"/>
      <c r="F553" s="108"/>
      <c r="G553" s="108"/>
    </row>
    <row r="554" spans="1:7" ht="15.75">
      <c r="A554" s="108"/>
      <c r="B554" s="108"/>
      <c r="C554" s="108"/>
      <c r="D554" s="108"/>
      <c r="E554" s="108"/>
      <c r="F554" s="108"/>
      <c r="G554" s="108"/>
    </row>
    <row r="555" spans="1:7" ht="15.75">
      <c r="A555" s="108"/>
      <c r="B555" s="108"/>
      <c r="C555" s="108"/>
      <c r="D555" s="108"/>
      <c r="E555" s="108"/>
      <c r="F555" s="108"/>
      <c r="G555" s="108"/>
    </row>
    <row r="556" spans="1:7" ht="15.75">
      <c r="A556" s="108"/>
      <c r="B556" s="108"/>
      <c r="C556" s="108"/>
      <c r="D556" s="108"/>
      <c r="E556" s="108"/>
      <c r="F556" s="108"/>
      <c r="G556" s="108"/>
    </row>
    <row r="557" spans="1:7" ht="15.75">
      <c r="A557" s="108"/>
      <c r="B557" s="108"/>
      <c r="C557" s="108"/>
      <c r="D557" s="108"/>
      <c r="E557" s="108"/>
      <c r="F557" s="108"/>
      <c r="G557" s="108"/>
    </row>
    <row r="558" spans="1:7" ht="15.75">
      <c r="A558" s="108"/>
      <c r="B558" s="108"/>
      <c r="C558" s="108"/>
      <c r="D558" s="108"/>
      <c r="E558" s="108"/>
      <c r="F558" s="108"/>
      <c r="G558" s="108"/>
    </row>
    <row r="559" spans="1:7" ht="15.75">
      <c r="A559" s="108"/>
      <c r="B559" s="108"/>
      <c r="C559" s="108"/>
      <c r="D559" s="108"/>
      <c r="E559" s="108"/>
      <c r="F559" s="108"/>
      <c r="G559" s="108"/>
    </row>
    <row r="560" spans="1:7" ht="15.75">
      <c r="A560" s="108"/>
      <c r="B560" s="108"/>
      <c r="C560" s="108"/>
      <c r="D560" s="108"/>
      <c r="E560" s="108"/>
      <c r="F560" s="108"/>
      <c r="G560" s="108"/>
    </row>
    <row r="561" spans="1:7" ht="15.75">
      <c r="A561" s="108"/>
      <c r="B561" s="108"/>
      <c r="C561" s="108"/>
      <c r="D561" s="108"/>
      <c r="E561" s="108"/>
      <c r="F561" s="108"/>
      <c r="G561" s="108"/>
    </row>
    <row r="562" spans="1:7" ht="15.75">
      <c r="A562" s="108"/>
      <c r="B562" s="108"/>
      <c r="C562" s="108"/>
      <c r="D562" s="108"/>
      <c r="E562" s="108"/>
      <c r="F562" s="108"/>
      <c r="G562" s="108"/>
    </row>
    <row r="563" spans="1:7" ht="15.75">
      <c r="A563" s="108"/>
      <c r="B563" s="108"/>
      <c r="C563" s="108"/>
      <c r="D563" s="108"/>
      <c r="E563" s="108"/>
      <c r="F563" s="108"/>
      <c r="G563" s="108"/>
    </row>
    <row r="564" spans="1:7" ht="15.75">
      <c r="A564" s="108"/>
      <c r="B564" s="108"/>
      <c r="C564" s="108"/>
      <c r="D564" s="108"/>
      <c r="E564" s="108"/>
      <c r="F564" s="108"/>
      <c r="G564" s="108"/>
    </row>
    <row r="565" spans="1:7" ht="15.75">
      <c r="A565" s="108"/>
      <c r="B565" s="108"/>
      <c r="C565" s="108"/>
      <c r="D565" s="108"/>
      <c r="E565" s="108"/>
      <c r="F565" s="108"/>
      <c r="G565" s="108"/>
    </row>
    <row r="566" spans="1:7" ht="15.75">
      <c r="A566" s="108"/>
      <c r="B566" s="108"/>
      <c r="C566" s="108"/>
      <c r="D566" s="108"/>
      <c r="E566" s="108"/>
      <c r="F566" s="108"/>
      <c r="G566" s="108"/>
    </row>
    <row r="567" spans="1:7" ht="15.75">
      <c r="A567" s="108"/>
      <c r="B567" s="108"/>
      <c r="C567" s="108"/>
      <c r="D567" s="108"/>
      <c r="E567" s="108"/>
      <c r="F567" s="108"/>
      <c r="G567" s="108"/>
    </row>
    <row r="568" spans="1:7" ht="15.75">
      <c r="A568" s="108"/>
      <c r="B568" s="108"/>
      <c r="C568" s="108"/>
      <c r="D568" s="108"/>
      <c r="E568" s="108"/>
      <c r="F568" s="108"/>
      <c r="G568" s="108"/>
    </row>
    <row r="569" spans="1:7" ht="15.75">
      <c r="A569" s="108"/>
      <c r="B569" s="108"/>
      <c r="C569" s="108"/>
      <c r="D569" s="108"/>
      <c r="E569" s="108"/>
      <c r="F569" s="108"/>
      <c r="G569" s="108"/>
    </row>
    <row r="570" spans="1:7" ht="15.75">
      <c r="A570" s="108"/>
      <c r="B570" s="108"/>
      <c r="C570" s="108"/>
      <c r="D570" s="108"/>
      <c r="E570" s="108"/>
      <c r="F570" s="108"/>
      <c r="G570" s="108"/>
    </row>
    <row r="571" spans="1:7" ht="15.75">
      <c r="A571" s="108"/>
      <c r="B571" s="108"/>
      <c r="C571" s="108"/>
      <c r="D571" s="108"/>
      <c r="E571" s="108"/>
      <c r="F571" s="108"/>
      <c r="G571" s="108"/>
    </row>
    <row r="572" spans="1:7" ht="15.75">
      <c r="A572" s="108"/>
      <c r="B572" s="108"/>
      <c r="C572" s="108"/>
      <c r="D572" s="108"/>
      <c r="E572" s="108"/>
      <c r="F572" s="108"/>
      <c r="G572" s="108"/>
    </row>
    <row r="573" spans="1:7" ht="15.75">
      <c r="A573" s="108"/>
      <c r="B573" s="108"/>
      <c r="C573" s="108"/>
      <c r="D573" s="108"/>
      <c r="E573" s="108"/>
      <c r="F573" s="108"/>
      <c r="G573" s="108"/>
    </row>
    <row r="574" spans="1:7" ht="15.75">
      <c r="A574" s="108"/>
      <c r="B574" s="108"/>
      <c r="C574" s="108"/>
      <c r="D574" s="108"/>
      <c r="E574" s="108"/>
      <c r="F574" s="108"/>
      <c r="G574" s="108"/>
    </row>
    <row r="575" spans="1:7" ht="15.75">
      <c r="A575" s="108"/>
      <c r="B575" s="108"/>
      <c r="C575" s="108"/>
      <c r="D575" s="108"/>
      <c r="E575" s="108"/>
      <c r="F575" s="108"/>
      <c r="G575" s="108"/>
    </row>
    <row r="576" spans="1:7" ht="15.75">
      <c r="A576" s="108"/>
      <c r="B576" s="108"/>
      <c r="C576" s="108"/>
      <c r="D576" s="108"/>
      <c r="E576" s="108"/>
      <c r="F576" s="108"/>
      <c r="G576" s="108"/>
    </row>
    <row r="577" spans="1:7" ht="15.75">
      <c r="A577" s="108"/>
      <c r="B577" s="108"/>
      <c r="C577" s="108"/>
      <c r="D577" s="108"/>
      <c r="E577" s="108"/>
      <c r="F577" s="108"/>
      <c r="G577" s="108"/>
    </row>
    <row r="578" spans="1:7" ht="15.75">
      <c r="A578" s="108"/>
      <c r="B578" s="108"/>
      <c r="C578" s="108"/>
      <c r="D578" s="108"/>
      <c r="E578" s="108"/>
      <c r="F578" s="108"/>
      <c r="G578" s="108"/>
    </row>
    <row r="579" spans="1:7" ht="15.75">
      <c r="A579" s="108"/>
      <c r="B579" s="108"/>
      <c r="C579" s="108"/>
      <c r="D579" s="108"/>
      <c r="E579" s="108"/>
      <c r="F579" s="108"/>
      <c r="G579" s="108"/>
    </row>
    <row r="580" spans="1:7" ht="15.75">
      <c r="A580" s="108"/>
      <c r="B580" s="108"/>
      <c r="C580" s="108"/>
      <c r="D580" s="108"/>
      <c r="E580" s="108"/>
      <c r="F580" s="108"/>
      <c r="G580" s="108"/>
    </row>
    <row r="581" spans="1:7" ht="15.75">
      <c r="A581" s="108"/>
      <c r="B581" s="108"/>
      <c r="C581" s="108"/>
      <c r="D581" s="108"/>
      <c r="E581" s="108"/>
      <c r="F581" s="108"/>
      <c r="G581" s="108"/>
    </row>
    <row r="582" spans="1:7" ht="15.75">
      <c r="A582" s="108"/>
      <c r="B582" s="108"/>
      <c r="C582" s="108"/>
      <c r="D582" s="108"/>
      <c r="E582" s="108"/>
      <c r="F582" s="108"/>
      <c r="G582" s="108"/>
    </row>
    <row r="583" spans="1:7" ht="15.75">
      <c r="A583" s="108"/>
      <c r="B583" s="108"/>
      <c r="C583" s="108"/>
      <c r="D583" s="108"/>
      <c r="E583" s="108"/>
      <c r="F583" s="108"/>
      <c r="G583" s="108"/>
    </row>
    <row r="584" spans="1:7" ht="15.75">
      <c r="A584" s="108"/>
      <c r="B584" s="108"/>
      <c r="C584" s="108"/>
      <c r="D584" s="108"/>
      <c r="E584" s="108"/>
      <c r="F584" s="108"/>
      <c r="G584" s="108"/>
    </row>
    <row r="585" spans="1:7" ht="15.75">
      <c r="A585" s="108"/>
      <c r="B585" s="108"/>
      <c r="C585" s="108"/>
      <c r="D585" s="108"/>
      <c r="E585" s="108"/>
      <c r="F585" s="108"/>
      <c r="G585" s="108"/>
    </row>
    <row r="586" spans="1:7" ht="15.75">
      <c r="A586" s="108"/>
      <c r="B586" s="108"/>
      <c r="C586" s="108"/>
      <c r="D586" s="108"/>
      <c r="E586" s="108"/>
      <c r="F586" s="108"/>
      <c r="G586" s="108"/>
    </row>
    <row r="587" spans="1:7" ht="15.75">
      <c r="A587" s="108"/>
      <c r="B587" s="108"/>
      <c r="C587" s="108"/>
      <c r="D587" s="108"/>
      <c r="E587" s="108"/>
      <c r="F587" s="108"/>
      <c r="G587" s="108"/>
    </row>
    <row r="588" spans="1:7" ht="15.75">
      <c r="A588" s="108"/>
      <c r="B588" s="108"/>
      <c r="C588" s="108"/>
      <c r="D588" s="108"/>
      <c r="E588" s="108"/>
      <c r="F588" s="108"/>
      <c r="G588" s="108"/>
    </row>
    <row r="589" spans="1:7" ht="15.75">
      <c r="A589" s="108"/>
      <c r="B589" s="108"/>
      <c r="C589" s="108"/>
      <c r="D589" s="108"/>
      <c r="E589" s="108"/>
      <c r="F589" s="108"/>
      <c r="G589" s="108"/>
    </row>
    <row r="590" spans="1:7" ht="15.75">
      <c r="A590" s="108"/>
      <c r="B590" s="108"/>
      <c r="C590" s="108"/>
      <c r="D590" s="108"/>
      <c r="E590" s="108"/>
      <c r="F590" s="108"/>
      <c r="G590" s="108"/>
    </row>
    <row r="591" spans="1:7" ht="15.75">
      <c r="A591" s="108"/>
      <c r="B591" s="108"/>
      <c r="C591" s="108"/>
      <c r="D591" s="108"/>
      <c r="E591" s="108"/>
      <c r="F591" s="108"/>
      <c r="G591" s="108"/>
    </row>
    <row r="592" spans="1:7" ht="15.75">
      <c r="A592" s="108"/>
      <c r="B592" s="108"/>
      <c r="C592" s="108"/>
      <c r="D592" s="108"/>
      <c r="E592" s="108"/>
      <c r="F592" s="108"/>
      <c r="G592" s="108"/>
    </row>
    <row r="593" spans="1:7" ht="15.75">
      <c r="A593" s="108"/>
      <c r="B593" s="108"/>
      <c r="C593" s="108"/>
      <c r="D593" s="108"/>
      <c r="E593" s="108"/>
      <c r="F593" s="108"/>
      <c r="G593" s="108"/>
    </row>
    <row r="594" spans="1:7" ht="15.75">
      <c r="A594" s="108"/>
      <c r="B594" s="108"/>
      <c r="C594" s="108"/>
      <c r="D594" s="108"/>
      <c r="E594" s="108"/>
      <c r="F594" s="108"/>
      <c r="G594" s="108"/>
    </row>
    <row r="595" spans="1:7" ht="15.75">
      <c r="A595" s="108"/>
      <c r="B595" s="108"/>
      <c r="C595" s="108"/>
      <c r="D595" s="108"/>
      <c r="E595" s="108"/>
      <c r="F595" s="108"/>
      <c r="G595" s="108"/>
    </row>
    <row r="596" spans="1:7" ht="15.75">
      <c r="A596" s="108"/>
      <c r="B596" s="108"/>
      <c r="C596" s="108"/>
      <c r="D596" s="108"/>
      <c r="E596" s="108"/>
      <c r="F596" s="108"/>
      <c r="G596" s="108"/>
    </row>
    <row r="597" spans="1:7" ht="15.75">
      <c r="A597" s="108"/>
      <c r="B597" s="108"/>
      <c r="C597" s="108"/>
      <c r="D597" s="108"/>
      <c r="E597" s="108"/>
      <c r="F597" s="108"/>
      <c r="G597" s="108"/>
    </row>
    <row r="598" spans="1:7" ht="15.75">
      <c r="A598" s="108"/>
      <c r="B598" s="108"/>
      <c r="C598" s="108"/>
      <c r="D598" s="108"/>
      <c r="E598" s="108"/>
      <c r="F598" s="108"/>
      <c r="G598" s="108"/>
    </row>
    <row r="599" spans="1:7" ht="15.75">
      <c r="A599" s="108"/>
      <c r="B599" s="108"/>
      <c r="C599" s="108"/>
      <c r="D599" s="108"/>
      <c r="E599" s="108"/>
      <c r="F599" s="108"/>
      <c r="G599" s="108"/>
    </row>
    <row r="600" spans="1:7" ht="15.75">
      <c r="A600" s="108"/>
      <c r="B600" s="108"/>
      <c r="C600" s="108"/>
      <c r="D600" s="108"/>
      <c r="E600" s="108"/>
      <c r="F600" s="108"/>
      <c r="G600" s="108"/>
    </row>
    <row r="601" spans="1:7" ht="15.75">
      <c r="A601" s="108"/>
      <c r="B601" s="108"/>
      <c r="C601" s="108"/>
      <c r="D601" s="108"/>
      <c r="E601" s="108"/>
      <c r="F601" s="108"/>
      <c r="G601" s="108"/>
    </row>
    <row r="602" spans="1:7" ht="15.75">
      <c r="A602" s="108"/>
      <c r="B602" s="108"/>
      <c r="C602" s="108"/>
      <c r="D602" s="108"/>
      <c r="E602" s="108"/>
      <c r="F602" s="108"/>
      <c r="G602" s="108"/>
    </row>
    <row r="603" spans="1:7" ht="15.75">
      <c r="A603" s="108"/>
      <c r="B603" s="108"/>
      <c r="C603" s="108"/>
      <c r="D603" s="108"/>
      <c r="E603" s="108"/>
      <c r="F603" s="108"/>
      <c r="G603" s="108"/>
    </row>
    <row r="604" spans="1:7" ht="15.75">
      <c r="A604" s="108"/>
      <c r="B604" s="108"/>
      <c r="C604" s="108"/>
      <c r="D604" s="108"/>
      <c r="E604" s="108"/>
      <c r="F604" s="108"/>
      <c r="G604" s="108"/>
    </row>
    <row r="605" spans="1:7" ht="15.75">
      <c r="A605" s="108"/>
      <c r="B605" s="108"/>
      <c r="C605" s="108"/>
      <c r="D605" s="108"/>
      <c r="E605" s="108"/>
      <c r="F605" s="108"/>
      <c r="G605" s="108"/>
    </row>
    <row r="606" spans="1:7" ht="15.75">
      <c r="A606" s="108"/>
      <c r="B606" s="108"/>
      <c r="C606" s="108"/>
      <c r="D606" s="108"/>
      <c r="E606" s="108"/>
      <c r="F606" s="108"/>
      <c r="G606" s="108"/>
    </row>
    <row r="607" spans="1:7" ht="15.75">
      <c r="A607" s="108"/>
      <c r="B607" s="108"/>
      <c r="C607" s="108"/>
      <c r="D607" s="108"/>
      <c r="E607" s="108"/>
      <c r="F607" s="108"/>
      <c r="G607" s="108"/>
    </row>
    <row r="608" spans="1:7" ht="15.75">
      <c r="A608" s="108"/>
      <c r="B608" s="108"/>
      <c r="C608" s="108"/>
      <c r="D608" s="108"/>
      <c r="E608" s="108"/>
      <c r="F608" s="108"/>
      <c r="G608" s="108"/>
    </row>
    <row r="609" spans="1:7" ht="15.75">
      <c r="A609" s="108"/>
      <c r="B609" s="108"/>
      <c r="C609" s="108"/>
      <c r="D609" s="108"/>
      <c r="E609" s="108"/>
      <c r="F609" s="108"/>
      <c r="G609" s="108"/>
    </row>
    <row r="610" spans="1:7" ht="15.75">
      <c r="A610" s="108"/>
      <c r="B610" s="108"/>
      <c r="C610" s="108"/>
      <c r="D610" s="108"/>
      <c r="E610" s="108"/>
      <c r="F610" s="108"/>
      <c r="G610" s="108"/>
    </row>
    <row r="611" spans="1:7" ht="15.75">
      <c r="A611" s="108"/>
      <c r="B611" s="108"/>
      <c r="C611" s="108"/>
      <c r="D611" s="108"/>
      <c r="E611" s="108"/>
      <c r="F611" s="108"/>
      <c r="G611" s="108"/>
    </row>
    <row r="612" spans="1:7" ht="15.75">
      <c r="A612" s="108"/>
      <c r="B612" s="108"/>
      <c r="C612" s="108"/>
      <c r="D612" s="108"/>
      <c r="E612" s="108"/>
      <c r="F612" s="108"/>
      <c r="G612" s="108"/>
    </row>
    <row r="613" spans="1:7" ht="15.75">
      <c r="A613" s="108"/>
      <c r="B613" s="108"/>
      <c r="C613" s="108"/>
      <c r="D613" s="108"/>
      <c r="E613" s="108"/>
      <c r="F613" s="108"/>
      <c r="G613" s="108"/>
    </row>
    <row r="614" spans="1:7" ht="15.75">
      <c r="A614" s="108"/>
      <c r="B614" s="108"/>
      <c r="C614" s="108"/>
      <c r="D614" s="108"/>
      <c r="E614" s="108"/>
      <c r="F614" s="108"/>
      <c r="G614" s="108"/>
    </row>
    <row r="615" spans="1:7" ht="15.75">
      <c r="A615" s="108"/>
      <c r="B615" s="108"/>
      <c r="C615" s="108"/>
      <c r="D615" s="108"/>
      <c r="E615" s="108"/>
      <c r="F615" s="108"/>
      <c r="G615" s="108"/>
    </row>
    <row r="616" spans="1:7" ht="15.75">
      <c r="A616" s="108"/>
      <c r="B616" s="108"/>
      <c r="C616" s="108"/>
      <c r="D616" s="108"/>
      <c r="E616" s="108"/>
      <c r="F616" s="108"/>
      <c r="G616" s="108"/>
    </row>
    <row r="617" spans="1:7" ht="15.75">
      <c r="A617" s="108"/>
      <c r="B617" s="108"/>
      <c r="C617" s="108"/>
      <c r="D617" s="108"/>
      <c r="E617" s="108"/>
      <c r="F617" s="108"/>
      <c r="G617" s="108"/>
    </row>
    <row r="618" spans="1:7" ht="15.75">
      <c r="A618" s="108"/>
      <c r="B618" s="108"/>
      <c r="C618" s="108"/>
      <c r="D618" s="108"/>
      <c r="E618" s="108"/>
      <c r="F618" s="108"/>
      <c r="G618" s="108"/>
    </row>
    <row r="619" spans="1:7" ht="15.75">
      <c r="A619" s="108"/>
      <c r="B619" s="108"/>
      <c r="C619" s="108"/>
      <c r="D619" s="108"/>
      <c r="E619" s="108"/>
      <c r="F619" s="108"/>
      <c r="G619" s="108"/>
    </row>
    <row r="620" spans="1:7" ht="15.75">
      <c r="A620" s="108"/>
      <c r="B620" s="108"/>
      <c r="C620" s="108"/>
      <c r="D620" s="108"/>
      <c r="E620" s="108"/>
      <c r="F620" s="108"/>
      <c r="G620" s="108"/>
    </row>
    <row r="621" spans="1:7" ht="15.75">
      <c r="A621" s="108"/>
      <c r="B621" s="108"/>
      <c r="C621" s="108"/>
      <c r="D621" s="108"/>
      <c r="E621" s="108"/>
      <c r="F621" s="108"/>
      <c r="G621" s="108"/>
    </row>
    <row r="622" spans="1:7" ht="15.75">
      <c r="A622" s="108"/>
      <c r="B622" s="108"/>
      <c r="C622" s="108"/>
      <c r="D622" s="108"/>
      <c r="E622" s="108"/>
      <c r="F622" s="108"/>
      <c r="G622" s="108"/>
    </row>
    <row r="623" spans="1:7" ht="15.75">
      <c r="A623" s="108"/>
      <c r="B623" s="108"/>
      <c r="C623" s="108"/>
      <c r="D623" s="108"/>
      <c r="E623" s="108"/>
      <c r="F623" s="108"/>
      <c r="G623" s="108"/>
    </row>
    <row r="624" spans="1:7" ht="15.75">
      <c r="A624" s="108"/>
      <c r="B624" s="108"/>
      <c r="C624" s="108"/>
      <c r="D624" s="108"/>
      <c r="E624" s="108"/>
      <c r="F624" s="108"/>
      <c r="G624" s="108"/>
    </row>
    <row r="625" spans="1:7" ht="15.75">
      <c r="A625" s="108"/>
      <c r="B625" s="108"/>
      <c r="C625" s="108"/>
      <c r="D625" s="108"/>
      <c r="E625" s="108"/>
      <c r="F625" s="108"/>
      <c r="G625" s="108"/>
    </row>
    <row r="626" spans="1:7" ht="15.75">
      <c r="A626" s="108"/>
      <c r="B626" s="108"/>
      <c r="C626" s="108"/>
      <c r="D626" s="108"/>
      <c r="E626" s="108"/>
      <c r="F626" s="108"/>
      <c r="G626" s="108"/>
    </row>
    <row r="627" spans="1:7" ht="15.75">
      <c r="A627" s="108"/>
      <c r="B627" s="108"/>
      <c r="C627" s="108"/>
      <c r="D627" s="108"/>
      <c r="E627" s="108"/>
      <c r="F627" s="108"/>
      <c r="G627" s="108"/>
    </row>
    <row r="628" spans="1:7" ht="15.75">
      <c r="A628" s="108"/>
      <c r="B628" s="108"/>
      <c r="C628" s="108"/>
      <c r="D628" s="108"/>
      <c r="E628" s="108"/>
      <c r="F628" s="108"/>
      <c r="G628" s="108"/>
    </row>
    <row r="629" spans="1:7" ht="15.75">
      <c r="A629" s="108"/>
      <c r="B629" s="108"/>
      <c r="C629" s="108"/>
      <c r="D629" s="108"/>
      <c r="E629" s="108"/>
      <c r="F629" s="108"/>
      <c r="G629" s="108"/>
    </row>
    <row r="630" spans="1:7" ht="15.75">
      <c r="A630" s="108"/>
      <c r="B630" s="108"/>
      <c r="C630" s="108"/>
      <c r="D630" s="108"/>
      <c r="E630" s="108"/>
      <c r="F630" s="108"/>
      <c r="G630" s="108"/>
    </row>
    <row r="631" spans="1:7" ht="15.75">
      <c r="A631" s="108"/>
      <c r="B631" s="108"/>
      <c r="C631" s="108"/>
      <c r="D631" s="108"/>
      <c r="E631" s="108"/>
      <c r="F631" s="108"/>
      <c r="G631" s="108"/>
    </row>
    <row r="632" spans="1:7" ht="15.75">
      <c r="A632" s="108"/>
      <c r="B632" s="108"/>
      <c r="C632" s="108"/>
      <c r="D632" s="108"/>
      <c r="E632" s="108"/>
      <c r="F632" s="108"/>
      <c r="G632" s="108"/>
    </row>
    <row r="633" spans="1:7" ht="15.75">
      <c r="A633" s="108"/>
      <c r="B633" s="108"/>
      <c r="C633" s="108"/>
      <c r="D633" s="108"/>
      <c r="E633" s="108"/>
      <c r="F633" s="108"/>
      <c r="G633" s="108"/>
    </row>
    <row r="634" spans="1:7" ht="15.75">
      <c r="A634" s="108"/>
      <c r="B634" s="108"/>
      <c r="C634" s="108"/>
      <c r="D634" s="108"/>
      <c r="E634" s="108"/>
      <c r="F634" s="108"/>
      <c r="G634" s="108"/>
    </row>
    <row r="635" spans="1:7" ht="15.75">
      <c r="A635" s="108"/>
      <c r="B635" s="108"/>
      <c r="C635" s="108"/>
      <c r="D635" s="108"/>
      <c r="E635" s="108"/>
      <c r="F635" s="108"/>
      <c r="G635" s="108"/>
    </row>
    <row r="636" spans="1:7" ht="15.75">
      <c r="A636" s="108"/>
      <c r="B636" s="108"/>
      <c r="C636" s="108"/>
      <c r="D636" s="108"/>
      <c r="E636" s="108"/>
      <c r="F636" s="108"/>
      <c r="G636" s="108"/>
    </row>
    <row r="637" spans="1:7" ht="15.75">
      <c r="A637" s="108"/>
      <c r="B637" s="108"/>
      <c r="C637" s="108"/>
      <c r="D637" s="108"/>
      <c r="E637" s="108"/>
      <c r="F637" s="108"/>
      <c r="G637" s="108"/>
    </row>
    <row r="638" spans="1:7" ht="15.75">
      <c r="A638" s="108"/>
      <c r="B638" s="108"/>
      <c r="C638" s="108"/>
      <c r="D638" s="108"/>
      <c r="E638" s="108"/>
      <c r="F638" s="108"/>
      <c r="G638" s="108"/>
    </row>
    <row r="639" spans="1:7" ht="15.75">
      <c r="A639" s="108"/>
      <c r="B639" s="108"/>
      <c r="C639" s="108"/>
      <c r="D639" s="108"/>
      <c r="E639" s="108"/>
      <c r="F639" s="108"/>
      <c r="G639" s="108"/>
    </row>
    <row r="640" spans="1:7" ht="15.75">
      <c r="A640" s="108"/>
      <c r="B640" s="108"/>
      <c r="C640" s="108"/>
      <c r="D640" s="108"/>
      <c r="E640" s="108"/>
      <c r="F640" s="108"/>
      <c r="G640" s="108"/>
    </row>
    <row r="641" spans="1:7" ht="15.75">
      <c r="A641" s="108"/>
      <c r="B641" s="108"/>
      <c r="C641" s="108"/>
      <c r="D641" s="108"/>
      <c r="E641" s="108"/>
      <c r="F641" s="108"/>
      <c r="G641" s="108"/>
    </row>
    <row r="642" spans="1:7" ht="15.75">
      <c r="A642" s="108"/>
      <c r="B642" s="108"/>
      <c r="C642" s="108"/>
      <c r="D642" s="108"/>
      <c r="E642" s="108"/>
      <c r="F642" s="108"/>
      <c r="G642" s="108"/>
    </row>
    <row r="643" spans="1:7" ht="15.75">
      <c r="A643" s="108"/>
      <c r="B643" s="108"/>
      <c r="C643" s="108"/>
      <c r="D643" s="108"/>
      <c r="E643" s="108"/>
      <c r="F643" s="108"/>
      <c r="G643" s="108"/>
    </row>
    <row r="644" spans="1:7" ht="15.75">
      <c r="A644" s="108"/>
      <c r="B644" s="108"/>
      <c r="C644" s="108"/>
      <c r="D644" s="108"/>
      <c r="E644" s="108"/>
      <c r="F644" s="108"/>
      <c r="G644" s="108"/>
    </row>
    <row r="645" spans="1:7" ht="15.75">
      <c r="A645" s="108"/>
      <c r="B645" s="108"/>
      <c r="C645" s="108"/>
      <c r="D645" s="108"/>
      <c r="E645" s="108"/>
      <c r="F645" s="108"/>
      <c r="G645" s="108"/>
    </row>
    <row r="646" spans="1:7" ht="15.75">
      <c r="A646" s="108"/>
      <c r="B646" s="108"/>
      <c r="C646" s="108"/>
      <c r="D646" s="108"/>
      <c r="E646" s="108"/>
      <c r="F646" s="108"/>
      <c r="G646" s="108"/>
    </row>
    <row r="647" spans="1:7" ht="15.75">
      <c r="A647" s="108"/>
      <c r="B647" s="108"/>
      <c r="C647" s="108"/>
      <c r="D647" s="108"/>
      <c r="E647" s="108"/>
      <c r="F647" s="108"/>
      <c r="G647" s="108"/>
    </row>
    <row r="648" spans="1:7" ht="15.75">
      <c r="A648" s="108"/>
      <c r="B648" s="108"/>
      <c r="C648" s="108"/>
      <c r="D648" s="108"/>
      <c r="E648" s="108"/>
      <c r="F648" s="108"/>
      <c r="G648" s="108"/>
    </row>
    <row r="649" spans="1:7" ht="15.75">
      <c r="A649" s="108"/>
      <c r="B649" s="108"/>
      <c r="C649" s="108"/>
      <c r="D649" s="108"/>
      <c r="E649" s="108"/>
      <c r="F649" s="108"/>
      <c r="G649" s="108"/>
    </row>
    <row r="650" spans="1:7" ht="15.75">
      <c r="A650" s="108"/>
      <c r="B650" s="108"/>
      <c r="C650" s="108"/>
      <c r="D650" s="108"/>
      <c r="E650" s="108"/>
      <c r="F650" s="108"/>
      <c r="G650" s="108"/>
    </row>
    <row r="651" spans="1:7" ht="15.75">
      <c r="A651" s="108"/>
      <c r="B651" s="108"/>
      <c r="C651" s="108"/>
      <c r="D651" s="108"/>
      <c r="E651" s="108"/>
      <c r="F651" s="108"/>
      <c r="G651" s="108"/>
    </row>
    <row r="652" spans="1:7" ht="15.75">
      <c r="A652" s="108"/>
      <c r="B652" s="108"/>
      <c r="C652" s="108"/>
      <c r="D652" s="108"/>
      <c r="E652" s="108"/>
      <c r="F652" s="108"/>
      <c r="G652" s="108"/>
    </row>
    <row r="653" spans="1:7" ht="15.75">
      <c r="A653" s="108"/>
      <c r="B653" s="108"/>
      <c r="C653" s="108"/>
      <c r="D653" s="108"/>
      <c r="E653" s="108"/>
      <c r="F653" s="108"/>
      <c r="G653" s="108"/>
    </row>
    <row r="654" spans="1:7" ht="15.75">
      <c r="A654" s="108"/>
      <c r="B654" s="108"/>
      <c r="C654" s="108"/>
      <c r="D654" s="108"/>
      <c r="E654" s="108"/>
      <c r="F654" s="108"/>
      <c r="G654" s="108"/>
    </row>
    <row r="655" spans="1:7" ht="15.75">
      <c r="A655" s="108"/>
      <c r="B655" s="108"/>
      <c r="C655" s="108"/>
      <c r="D655" s="108"/>
      <c r="E655" s="108"/>
      <c r="F655" s="108"/>
      <c r="G655" s="108"/>
    </row>
    <row r="656" spans="1:7" ht="15.75">
      <c r="A656" s="108"/>
      <c r="B656" s="108"/>
      <c r="C656" s="108"/>
      <c r="D656" s="108"/>
      <c r="E656" s="108"/>
      <c r="F656" s="108"/>
      <c r="G656" s="108"/>
    </row>
    <row r="657" spans="1:7" ht="15.75">
      <c r="A657" s="108"/>
      <c r="B657" s="108"/>
      <c r="C657" s="108"/>
      <c r="D657" s="108"/>
      <c r="E657" s="108"/>
      <c r="F657" s="108"/>
      <c r="G657" s="108"/>
    </row>
    <row r="658" spans="1:7" ht="15.75">
      <c r="A658" s="108"/>
      <c r="B658" s="108"/>
      <c r="C658" s="108"/>
      <c r="D658" s="108"/>
      <c r="E658" s="108"/>
      <c r="F658" s="108"/>
      <c r="G658" s="108"/>
    </row>
    <row r="659" spans="1:7" ht="15.75">
      <c r="A659" s="108"/>
      <c r="B659" s="108"/>
      <c r="C659" s="108"/>
      <c r="D659" s="108"/>
      <c r="E659" s="108"/>
      <c r="F659" s="108"/>
      <c r="G659" s="108"/>
    </row>
    <row r="660" spans="1:7" ht="15.75">
      <c r="A660" s="108"/>
      <c r="B660" s="108"/>
      <c r="C660" s="108"/>
      <c r="D660" s="108"/>
      <c r="E660" s="108"/>
      <c r="F660" s="108"/>
      <c r="G660" s="108"/>
    </row>
    <row r="661" spans="1:7" ht="15.75">
      <c r="A661" s="108"/>
      <c r="B661" s="108"/>
      <c r="C661" s="108"/>
      <c r="D661" s="108"/>
      <c r="E661" s="108"/>
      <c r="F661" s="108"/>
      <c r="G661" s="108"/>
    </row>
    <row r="662" spans="1:7" ht="15.75">
      <c r="A662" s="108"/>
      <c r="B662" s="108"/>
      <c r="C662" s="108"/>
      <c r="D662" s="108"/>
      <c r="E662" s="108"/>
      <c r="F662" s="108"/>
      <c r="G662" s="108"/>
    </row>
    <row r="663" spans="1:7" ht="15.75">
      <c r="A663" s="108"/>
      <c r="B663" s="108"/>
      <c r="C663" s="108"/>
      <c r="D663" s="108"/>
      <c r="E663" s="108"/>
      <c r="F663" s="108"/>
      <c r="G663" s="108"/>
    </row>
    <row r="664" spans="1:7" ht="15.75">
      <c r="A664" s="108"/>
      <c r="B664" s="108"/>
      <c r="C664" s="108"/>
      <c r="D664" s="108"/>
      <c r="E664" s="108"/>
      <c r="F664" s="108"/>
      <c r="G664" s="108"/>
    </row>
    <row r="665" spans="1:7" ht="15.75">
      <c r="A665" s="108"/>
      <c r="B665" s="108"/>
      <c r="C665" s="108"/>
      <c r="D665" s="108"/>
      <c r="E665" s="108"/>
      <c r="F665" s="108"/>
      <c r="G665" s="108"/>
    </row>
    <row r="666" spans="1:7" ht="15.75">
      <c r="A666" s="108"/>
      <c r="B666" s="108"/>
      <c r="C666" s="108"/>
      <c r="D666" s="108"/>
      <c r="E666" s="108"/>
      <c r="F666" s="108"/>
      <c r="G666" s="108"/>
    </row>
    <row r="667" spans="1:7" ht="15.75">
      <c r="A667" s="108"/>
      <c r="B667" s="108"/>
      <c r="C667" s="108"/>
      <c r="D667" s="108"/>
      <c r="E667" s="108"/>
      <c r="F667" s="108"/>
      <c r="G667" s="108"/>
    </row>
    <row r="668" spans="1:7" ht="15.75">
      <c r="A668" s="108"/>
      <c r="B668" s="108"/>
      <c r="C668" s="108"/>
      <c r="D668" s="108"/>
      <c r="E668" s="108"/>
      <c r="F668" s="108"/>
      <c r="G668" s="108"/>
    </row>
    <row r="669" spans="1:7" ht="15.75">
      <c r="A669" s="108"/>
      <c r="B669" s="108"/>
      <c r="C669" s="108"/>
      <c r="D669" s="108"/>
      <c r="E669" s="108"/>
      <c r="F669" s="108"/>
      <c r="G669" s="108"/>
    </row>
    <row r="670" spans="1:7" ht="15.75">
      <c r="A670" s="108"/>
      <c r="B670" s="108"/>
      <c r="C670" s="108"/>
      <c r="D670" s="108"/>
      <c r="E670" s="108"/>
      <c r="F670" s="108"/>
      <c r="G670" s="108"/>
    </row>
    <row r="671" spans="1:7" ht="15.75">
      <c r="A671" s="108"/>
      <c r="B671" s="108"/>
      <c r="C671" s="108"/>
      <c r="D671" s="108"/>
      <c r="E671" s="108"/>
      <c r="F671" s="108"/>
      <c r="G671" s="108"/>
    </row>
    <row r="672" spans="1:7" ht="15.75">
      <c r="A672" s="108"/>
      <c r="B672" s="108"/>
      <c r="C672" s="108"/>
      <c r="D672" s="108"/>
      <c r="E672" s="108"/>
      <c r="F672" s="108"/>
      <c r="G672" s="108"/>
    </row>
    <row r="673" spans="1:7" ht="15.75">
      <c r="A673" s="108"/>
      <c r="B673" s="108"/>
      <c r="C673" s="108"/>
      <c r="D673" s="108"/>
      <c r="E673" s="108"/>
      <c r="F673" s="108"/>
      <c r="G673" s="108"/>
    </row>
    <row r="674" spans="1:7" ht="15.75">
      <c r="A674" s="108"/>
      <c r="B674" s="108"/>
      <c r="C674" s="108"/>
      <c r="D674" s="108"/>
      <c r="E674" s="108"/>
      <c r="F674" s="108"/>
      <c r="G674" s="108"/>
    </row>
    <row r="675" spans="1:7" ht="15.75">
      <c r="A675" s="108"/>
      <c r="B675" s="108"/>
      <c r="C675" s="108"/>
      <c r="D675" s="108"/>
      <c r="E675" s="108"/>
      <c r="F675" s="108"/>
      <c r="G675" s="108"/>
    </row>
    <row r="676" spans="1:7" ht="15.75">
      <c r="A676" s="108"/>
      <c r="B676" s="108"/>
      <c r="C676" s="108"/>
      <c r="D676" s="108"/>
      <c r="E676" s="108"/>
      <c r="F676" s="108"/>
      <c r="G676" s="108"/>
    </row>
    <row r="677" spans="1:7" ht="15.75">
      <c r="A677" s="108"/>
      <c r="B677" s="108"/>
      <c r="C677" s="108"/>
      <c r="D677" s="108"/>
      <c r="E677" s="108"/>
      <c r="F677" s="108"/>
      <c r="G677" s="108"/>
    </row>
    <row r="678" spans="1:7" ht="15.75">
      <c r="A678" s="108"/>
      <c r="B678" s="108"/>
      <c r="C678" s="108"/>
      <c r="D678" s="108"/>
      <c r="E678" s="108"/>
      <c r="F678" s="108"/>
      <c r="G678" s="108"/>
    </row>
    <row r="679" spans="1:7" ht="15.75">
      <c r="A679" s="108"/>
      <c r="B679" s="108"/>
      <c r="C679" s="108"/>
      <c r="D679" s="108"/>
      <c r="E679" s="108"/>
      <c r="F679" s="108"/>
      <c r="G679" s="108"/>
    </row>
    <row r="680" spans="1:7" ht="15.75">
      <c r="A680" s="108"/>
      <c r="B680" s="108"/>
      <c r="C680" s="108"/>
      <c r="D680" s="108"/>
      <c r="E680" s="108"/>
      <c r="F680" s="108"/>
      <c r="G680" s="108"/>
    </row>
    <row r="681" spans="1:7" ht="15.75">
      <c r="A681" s="108"/>
      <c r="B681" s="108"/>
      <c r="C681" s="108"/>
      <c r="D681" s="108"/>
      <c r="E681" s="108"/>
      <c r="F681" s="108"/>
      <c r="G681" s="108"/>
    </row>
    <row r="682" spans="1:7" ht="15.75">
      <c r="A682" s="108"/>
      <c r="B682" s="108"/>
      <c r="C682" s="108"/>
      <c r="D682" s="108"/>
      <c r="E682" s="108"/>
      <c r="F682" s="108"/>
      <c r="G682" s="108"/>
    </row>
    <row r="683" spans="1:7" ht="15.75">
      <c r="A683" s="108"/>
      <c r="B683" s="108"/>
      <c r="C683" s="108"/>
      <c r="D683" s="108"/>
      <c r="E683" s="108"/>
      <c r="F683" s="108"/>
      <c r="G683" s="108"/>
    </row>
    <row r="684" spans="1:7" ht="15.75">
      <c r="A684" s="108"/>
      <c r="B684" s="108"/>
      <c r="C684" s="108"/>
      <c r="D684" s="108"/>
      <c r="E684" s="108"/>
      <c r="F684" s="108"/>
      <c r="G684" s="108"/>
    </row>
    <row r="685" spans="1:7" ht="15.75">
      <c r="A685" s="108"/>
      <c r="B685" s="108"/>
      <c r="C685" s="108"/>
      <c r="D685" s="108"/>
      <c r="E685" s="108"/>
      <c r="F685" s="108"/>
      <c r="G685" s="108"/>
    </row>
    <row r="686" spans="1:7" ht="15.75">
      <c r="A686" s="108"/>
      <c r="B686" s="108"/>
      <c r="C686" s="108"/>
      <c r="D686" s="108"/>
      <c r="E686" s="108"/>
      <c r="F686" s="108"/>
      <c r="G686" s="108"/>
    </row>
    <row r="687" spans="1:7" ht="15.75">
      <c r="A687" s="108"/>
      <c r="B687" s="108"/>
      <c r="C687" s="108"/>
      <c r="D687" s="108"/>
      <c r="E687" s="108"/>
      <c r="F687" s="108"/>
      <c r="G687" s="108"/>
    </row>
    <row r="688" spans="1:7" ht="15.75">
      <c r="A688" s="108"/>
      <c r="B688" s="108"/>
      <c r="C688" s="108"/>
      <c r="D688" s="108"/>
      <c r="E688" s="108"/>
      <c r="F688" s="108"/>
      <c r="G688" s="108"/>
    </row>
    <row r="689" spans="1:7" ht="15.75">
      <c r="A689" s="108"/>
      <c r="B689" s="108"/>
      <c r="C689" s="108"/>
      <c r="D689" s="108"/>
      <c r="E689" s="108"/>
      <c r="F689" s="108"/>
      <c r="G689" s="108"/>
    </row>
    <row r="690" spans="1:7" ht="15.75">
      <c r="A690" s="108"/>
      <c r="B690" s="108"/>
      <c r="C690" s="108"/>
      <c r="D690" s="108"/>
      <c r="E690" s="108"/>
      <c r="F690" s="108"/>
      <c r="G690" s="108"/>
    </row>
    <row r="691" spans="1:7" ht="15.75">
      <c r="A691" s="108"/>
      <c r="B691" s="108"/>
      <c r="C691" s="108"/>
      <c r="D691" s="108"/>
      <c r="E691" s="108"/>
      <c r="F691" s="108"/>
      <c r="G691" s="108"/>
    </row>
    <row r="692" spans="1:7" ht="15.75">
      <c r="A692" s="108"/>
      <c r="B692" s="108"/>
      <c r="C692" s="108"/>
      <c r="D692" s="108"/>
      <c r="E692" s="108"/>
      <c r="F692" s="108"/>
      <c r="G692" s="108"/>
    </row>
    <row r="693" spans="1:7" ht="15.75">
      <c r="A693" s="108"/>
      <c r="B693" s="108"/>
      <c r="C693" s="108"/>
      <c r="D693" s="108"/>
      <c r="E693" s="108"/>
      <c r="F693" s="108"/>
      <c r="G693" s="108"/>
    </row>
    <row r="694" spans="1:7" ht="15.75">
      <c r="A694" s="108"/>
      <c r="B694" s="108"/>
      <c r="C694" s="108"/>
      <c r="D694" s="108"/>
      <c r="E694" s="108"/>
      <c r="F694" s="108"/>
      <c r="G694" s="108"/>
    </row>
    <row r="695" spans="1:7" ht="15.75">
      <c r="A695" s="108"/>
      <c r="B695" s="108"/>
      <c r="C695" s="108"/>
      <c r="D695" s="108"/>
      <c r="E695" s="108"/>
      <c r="F695" s="108"/>
      <c r="G695" s="108"/>
    </row>
    <row r="696" spans="1:7" ht="15.75">
      <c r="A696" s="108"/>
      <c r="B696" s="108"/>
      <c r="C696" s="108"/>
      <c r="D696" s="108"/>
      <c r="E696" s="108"/>
      <c r="F696" s="108"/>
      <c r="G696" s="108"/>
    </row>
    <row r="697" spans="1:7" ht="15.75">
      <c r="A697" s="108"/>
      <c r="B697" s="108"/>
      <c r="C697" s="108"/>
      <c r="D697" s="108"/>
      <c r="E697" s="108"/>
      <c r="F697" s="108"/>
      <c r="G697" s="108"/>
    </row>
    <row r="698" spans="1:7" ht="15.75">
      <c r="A698" s="108"/>
      <c r="B698" s="108"/>
      <c r="C698" s="108"/>
      <c r="D698" s="108"/>
      <c r="E698" s="108"/>
      <c r="F698" s="108"/>
      <c r="G698" s="108"/>
    </row>
    <row r="699" spans="1:7" ht="15.75">
      <c r="A699" s="108"/>
      <c r="B699" s="108"/>
      <c r="C699" s="108"/>
      <c r="D699" s="108"/>
      <c r="E699" s="108"/>
      <c r="F699" s="108"/>
      <c r="G699" s="108"/>
    </row>
    <row r="700" spans="1:7" ht="15.75">
      <c r="A700" s="108"/>
      <c r="B700" s="108"/>
      <c r="C700" s="108"/>
      <c r="D700" s="108"/>
      <c r="E700" s="108"/>
      <c r="F700" s="108"/>
      <c r="G700" s="108"/>
    </row>
    <row r="701" spans="1:7" ht="15.75">
      <c r="A701" s="108"/>
      <c r="B701" s="108"/>
      <c r="C701" s="108"/>
      <c r="D701" s="108"/>
      <c r="E701" s="108"/>
      <c r="F701" s="108"/>
      <c r="G701" s="108"/>
    </row>
    <row r="702" spans="1:7" ht="15.75">
      <c r="A702" s="108"/>
      <c r="B702" s="108"/>
      <c r="C702" s="108"/>
      <c r="D702" s="108"/>
      <c r="E702" s="108"/>
      <c r="F702" s="108"/>
      <c r="G702" s="108"/>
    </row>
    <row r="703" spans="1:7" ht="15.75">
      <c r="A703" s="108"/>
      <c r="B703" s="108"/>
      <c r="C703" s="108"/>
      <c r="D703" s="108"/>
      <c r="E703" s="108"/>
      <c r="F703" s="108"/>
      <c r="G703" s="108"/>
    </row>
    <row r="704" spans="1:7" ht="15.75">
      <c r="A704" s="108"/>
      <c r="B704" s="108"/>
      <c r="C704" s="108"/>
      <c r="D704" s="108"/>
      <c r="E704" s="108"/>
      <c r="F704" s="108"/>
      <c r="G704" s="108"/>
    </row>
    <row r="705" spans="1:7" ht="15.75">
      <c r="A705" s="108"/>
      <c r="B705" s="108"/>
      <c r="C705" s="108"/>
      <c r="D705" s="108"/>
      <c r="E705" s="108"/>
      <c r="F705" s="108"/>
      <c r="G705" s="108"/>
    </row>
    <row r="706" spans="1:7" ht="15.75">
      <c r="A706" s="108"/>
      <c r="B706" s="108"/>
      <c r="C706" s="108"/>
      <c r="D706" s="108"/>
      <c r="E706" s="108"/>
      <c r="F706" s="108"/>
      <c r="G706" s="108"/>
    </row>
    <row r="707" spans="1:7" ht="15.75">
      <c r="A707" s="108"/>
      <c r="B707" s="108"/>
      <c r="C707" s="108"/>
      <c r="D707" s="108"/>
      <c r="E707" s="108"/>
      <c r="F707" s="108"/>
      <c r="G707" s="108"/>
    </row>
    <row r="708" spans="1:7" ht="15.75">
      <c r="A708" s="108"/>
      <c r="B708" s="108"/>
      <c r="C708" s="108"/>
      <c r="D708" s="108"/>
      <c r="E708" s="108"/>
      <c r="F708" s="108"/>
      <c r="G708" s="108"/>
    </row>
    <row r="709" spans="1:7" ht="15.75">
      <c r="A709" s="108"/>
      <c r="B709" s="108"/>
      <c r="C709" s="108"/>
      <c r="D709" s="108"/>
      <c r="E709" s="108"/>
      <c r="F709" s="108"/>
      <c r="G709" s="108"/>
    </row>
    <row r="710" spans="1:7" ht="15.75">
      <c r="A710" s="108"/>
      <c r="B710" s="108"/>
      <c r="C710" s="108"/>
      <c r="D710" s="108"/>
      <c r="E710" s="108"/>
      <c r="F710" s="108"/>
      <c r="G710" s="108"/>
    </row>
    <row r="711" spans="1:7" ht="15.75">
      <c r="A711" s="108"/>
      <c r="B711" s="108"/>
      <c r="C711" s="108"/>
      <c r="D711" s="108"/>
      <c r="E711" s="108"/>
      <c r="F711" s="108"/>
      <c r="G711" s="108"/>
    </row>
    <row r="712" spans="1:7" ht="15.75">
      <c r="A712" s="108"/>
      <c r="B712" s="108"/>
      <c r="C712" s="108"/>
      <c r="D712" s="108"/>
      <c r="E712" s="108"/>
      <c r="F712" s="108"/>
      <c r="G712" s="108"/>
    </row>
    <row r="713" spans="1:7" ht="15.75">
      <c r="A713" s="108"/>
      <c r="B713" s="108"/>
      <c r="C713" s="108"/>
      <c r="D713" s="108"/>
      <c r="E713" s="108"/>
      <c r="F713" s="108"/>
      <c r="G713" s="108"/>
    </row>
    <row r="714" spans="1:7" ht="15.75">
      <c r="A714" s="108"/>
      <c r="B714" s="108"/>
      <c r="C714" s="108"/>
      <c r="D714" s="108"/>
      <c r="E714" s="108"/>
      <c r="F714" s="108"/>
      <c r="G714" s="108"/>
    </row>
    <row r="715" spans="1:7" ht="15.75">
      <c r="A715" s="108"/>
      <c r="B715" s="108"/>
      <c r="C715" s="108"/>
      <c r="D715" s="108"/>
      <c r="E715" s="108"/>
      <c r="F715" s="108"/>
      <c r="G715" s="108"/>
    </row>
    <row r="716" spans="1:7" ht="15.75">
      <c r="A716" s="108"/>
      <c r="B716" s="108"/>
      <c r="C716" s="108"/>
      <c r="D716" s="108"/>
      <c r="E716" s="108"/>
      <c r="F716" s="108"/>
      <c r="G716" s="108"/>
    </row>
    <row r="717" spans="1:7" ht="15.75">
      <c r="A717" s="108"/>
      <c r="B717" s="108"/>
      <c r="C717" s="108"/>
      <c r="D717" s="108"/>
      <c r="E717" s="108"/>
      <c r="F717" s="108"/>
      <c r="G717" s="108"/>
    </row>
    <row r="718" spans="1:7" ht="15.75">
      <c r="A718" s="108"/>
      <c r="B718" s="108"/>
      <c r="C718" s="108"/>
      <c r="D718" s="108"/>
      <c r="E718" s="108"/>
      <c r="F718" s="108"/>
      <c r="G718" s="108"/>
    </row>
    <row r="719" spans="1:7" ht="15.75">
      <c r="A719" s="108"/>
      <c r="B719" s="108"/>
      <c r="C719" s="108"/>
      <c r="D719" s="108"/>
      <c r="E719" s="108"/>
      <c r="F719" s="108"/>
      <c r="G719" s="108"/>
    </row>
    <row r="720" spans="1:7" ht="15.75">
      <c r="A720" s="108"/>
      <c r="B720" s="108"/>
      <c r="C720" s="108"/>
      <c r="D720" s="108"/>
      <c r="E720" s="108"/>
      <c r="F720" s="108"/>
      <c r="G720" s="108"/>
    </row>
    <row r="721" spans="1:7" ht="15.75">
      <c r="A721" s="108"/>
      <c r="B721" s="108"/>
      <c r="C721" s="108"/>
      <c r="D721" s="108"/>
      <c r="E721" s="108"/>
      <c r="F721" s="108"/>
      <c r="G721" s="108"/>
    </row>
    <row r="722" spans="1:7" ht="15.75">
      <c r="A722" s="108"/>
      <c r="B722" s="108"/>
      <c r="C722" s="108"/>
      <c r="D722" s="108"/>
      <c r="E722" s="108"/>
      <c r="F722" s="108"/>
      <c r="G722" s="108"/>
    </row>
    <row r="723" spans="1:7" ht="15.75">
      <c r="A723" s="108"/>
      <c r="B723" s="108"/>
      <c r="C723" s="108"/>
      <c r="D723" s="108"/>
      <c r="E723" s="108"/>
      <c r="F723" s="108"/>
      <c r="G723" s="108"/>
    </row>
    <row r="724" spans="1:7" ht="15.75">
      <c r="A724" s="108"/>
      <c r="B724" s="108"/>
      <c r="C724" s="108"/>
      <c r="D724" s="108"/>
      <c r="E724" s="108"/>
      <c r="F724" s="108"/>
      <c r="G724" s="108"/>
    </row>
    <row r="725" spans="1:7" ht="15.75">
      <c r="A725" s="108"/>
      <c r="B725" s="108"/>
      <c r="C725" s="108"/>
      <c r="D725" s="108"/>
      <c r="E725" s="108"/>
      <c r="F725" s="108"/>
      <c r="G725" s="108"/>
    </row>
    <row r="726" spans="1:7" ht="15.75">
      <c r="A726" s="108"/>
      <c r="B726" s="108"/>
      <c r="C726" s="108"/>
      <c r="D726" s="108"/>
      <c r="E726" s="108"/>
      <c r="F726" s="108"/>
      <c r="G726" s="108"/>
    </row>
    <row r="727" spans="1:7" ht="15.75">
      <c r="A727" s="108"/>
      <c r="B727" s="108"/>
      <c r="C727" s="108"/>
      <c r="D727" s="108"/>
      <c r="E727" s="108"/>
      <c r="F727" s="108"/>
      <c r="G727" s="108"/>
    </row>
    <row r="728" spans="1:7" ht="15.75">
      <c r="A728" s="108"/>
      <c r="B728" s="108"/>
      <c r="C728" s="108"/>
      <c r="D728" s="108"/>
      <c r="E728" s="108"/>
      <c r="F728" s="108"/>
      <c r="G728" s="108"/>
    </row>
    <row r="729" spans="1:7" ht="15.75">
      <c r="A729" s="108"/>
      <c r="B729" s="108"/>
      <c r="C729" s="108"/>
      <c r="D729" s="108"/>
      <c r="E729" s="108"/>
      <c r="F729" s="108"/>
      <c r="G729" s="108"/>
    </row>
    <row r="730" spans="1:7" ht="15.75">
      <c r="A730" s="108"/>
      <c r="B730" s="108"/>
      <c r="C730" s="108"/>
      <c r="D730" s="108"/>
      <c r="E730" s="108"/>
      <c r="F730" s="108"/>
      <c r="G730" s="108"/>
    </row>
    <row r="731" spans="1:7" ht="15.75">
      <c r="A731" s="108"/>
      <c r="B731" s="108"/>
      <c r="C731" s="108"/>
      <c r="D731" s="108"/>
      <c r="E731" s="108"/>
      <c r="F731" s="108"/>
      <c r="G731" s="108"/>
    </row>
    <row r="732" spans="1:7" ht="15.75">
      <c r="A732" s="108"/>
      <c r="B732" s="108"/>
      <c r="C732" s="108"/>
      <c r="D732" s="108"/>
      <c r="E732" s="108"/>
      <c r="F732" s="108"/>
      <c r="G732" s="108"/>
    </row>
    <row r="733" spans="1:7" ht="15.75">
      <c r="A733" s="108"/>
      <c r="B733" s="108"/>
      <c r="C733" s="108"/>
      <c r="D733" s="108"/>
      <c r="E733" s="108"/>
      <c r="F733" s="108"/>
      <c r="G733" s="108"/>
    </row>
    <row r="734" spans="1:7" ht="15.75">
      <c r="A734" s="108"/>
      <c r="B734" s="108"/>
      <c r="C734" s="108"/>
      <c r="D734" s="108"/>
      <c r="E734" s="108"/>
      <c r="F734" s="108"/>
      <c r="G734" s="108"/>
    </row>
    <row r="735" spans="1:7" ht="15.75">
      <c r="A735" s="108"/>
      <c r="B735" s="108"/>
      <c r="C735" s="108"/>
      <c r="D735" s="108"/>
      <c r="E735" s="108"/>
      <c r="F735" s="108"/>
      <c r="G735" s="108"/>
    </row>
    <row r="736" spans="1:7" ht="15.75">
      <c r="A736" s="108"/>
      <c r="B736" s="108"/>
      <c r="C736" s="108"/>
      <c r="D736" s="108"/>
      <c r="E736" s="108"/>
      <c r="F736" s="108"/>
      <c r="G736" s="108"/>
    </row>
    <row r="737" spans="1:7" ht="15.75">
      <c r="A737" s="108"/>
      <c r="B737" s="108"/>
      <c r="C737" s="108"/>
      <c r="D737" s="108"/>
      <c r="E737" s="108"/>
      <c r="F737" s="108"/>
      <c r="G737" s="108"/>
    </row>
    <row r="738" spans="1:7" ht="15.75">
      <c r="A738" s="108"/>
      <c r="B738" s="108"/>
      <c r="C738" s="108"/>
      <c r="D738" s="108"/>
      <c r="E738" s="108"/>
      <c r="F738" s="108"/>
      <c r="G738" s="108"/>
    </row>
    <row r="739" spans="1:7" ht="15.75">
      <c r="A739" s="108"/>
      <c r="B739" s="108"/>
      <c r="C739" s="108"/>
      <c r="D739" s="108"/>
      <c r="E739" s="108"/>
      <c r="F739" s="108"/>
      <c r="G739" s="108"/>
    </row>
    <row r="740" spans="1:7" ht="15.75">
      <c r="A740" s="108"/>
      <c r="B740" s="108"/>
      <c r="C740" s="108"/>
      <c r="D740" s="108"/>
      <c r="E740" s="108"/>
      <c r="F740" s="108"/>
      <c r="G740" s="108"/>
    </row>
    <row r="741" spans="1:7" ht="15.75">
      <c r="A741" s="108"/>
      <c r="B741" s="108"/>
      <c r="C741" s="108"/>
      <c r="D741" s="108"/>
      <c r="E741" s="108"/>
      <c r="F741" s="108"/>
      <c r="G741" s="108"/>
    </row>
    <row r="742" spans="1:7" ht="15.75">
      <c r="A742" s="108"/>
      <c r="B742" s="108"/>
      <c r="C742" s="108"/>
      <c r="D742" s="108"/>
      <c r="E742" s="108"/>
      <c r="F742" s="108"/>
      <c r="G742" s="108"/>
    </row>
    <row r="743" spans="1:7" ht="15.75">
      <c r="A743" s="108"/>
      <c r="B743" s="108"/>
      <c r="C743" s="108"/>
      <c r="D743" s="108"/>
      <c r="E743" s="108"/>
      <c r="F743" s="108"/>
      <c r="G743" s="108"/>
    </row>
    <row r="744" spans="1:7" ht="15.75">
      <c r="A744" s="108"/>
      <c r="B744" s="108"/>
      <c r="C744" s="108"/>
      <c r="D744" s="108"/>
      <c r="E744" s="108"/>
      <c r="F744" s="108"/>
      <c r="G744" s="108"/>
    </row>
    <row r="745" spans="1:7" ht="15.75">
      <c r="A745" s="108"/>
      <c r="B745" s="108"/>
      <c r="C745" s="108"/>
      <c r="D745" s="108"/>
      <c r="E745" s="108"/>
      <c r="F745" s="108"/>
      <c r="G745" s="108"/>
    </row>
    <row r="746" spans="1:7" ht="15.75">
      <c r="A746" s="108"/>
      <c r="B746" s="108"/>
      <c r="C746" s="108"/>
      <c r="D746" s="108"/>
      <c r="E746" s="108"/>
      <c r="F746" s="108"/>
      <c r="G746" s="108"/>
    </row>
    <row r="747" spans="1:7" ht="15.75">
      <c r="A747" s="108"/>
      <c r="B747" s="108"/>
      <c r="C747" s="108"/>
      <c r="D747" s="108"/>
      <c r="E747" s="108"/>
      <c r="F747" s="108"/>
      <c r="G747" s="108"/>
    </row>
    <row r="748" spans="1:7" ht="15.75">
      <c r="A748" s="108"/>
      <c r="B748" s="108"/>
      <c r="C748" s="108"/>
      <c r="D748" s="108"/>
      <c r="E748" s="108"/>
      <c r="F748" s="108"/>
      <c r="G748" s="108"/>
    </row>
    <row r="749" spans="1:7" ht="15.75">
      <c r="A749" s="108"/>
      <c r="B749" s="108"/>
      <c r="C749" s="108"/>
      <c r="D749" s="108"/>
      <c r="E749" s="108"/>
      <c r="F749" s="108"/>
      <c r="G749" s="108"/>
    </row>
    <row r="750" spans="1:7" ht="15.75">
      <c r="A750" s="108"/>
      <c r="B750" s="108"/>
      <c r="C750" s="108"/>
      <c r="D750" s="108"/>
      <c r="E750" s="108"/>
      <c r="F750" s="108"/>
      <c r="G750" s="108"/>
    </row>
    <row r="751" spans="1:7" ht="15.75">
      <c r="A751" s="108"/>
      <c r="B751" s="108"/>
      <c r="C751" s="108"/>
      <c r="D751" s="108"/>
      <c r="E751" s="108"/>
      <c r="F751" s="108"/>
      <c r="G751" s="108"/>
    </row>
    <row r="752" spans="1:7" ht="15.75">
      <c r="A752" s="108"/>
      <c r="B752" s="108"/>
      <c r="C752" s="108"/>
      <c r="D752" s="108"/>
      <c r="E752" s="108"/>
      <c r="F752" s="108"/>
      <c r="G752" s="108"/>
    </row>
    <row r="753" spans="1:7" ht="15.75">
      <c r="A753" s="108"/>
      <c r="B753" s="108"/>
      <c r="C753" s="108"/>
      <c r="D753" s="108"/>
      <c r="E753" s="108"/>
      <c r="F753" s="108"/>
      <c r="G753" s="108"/>
    </row>
    <row r="754" spans="1:7" ht="15.75">
      <c r="A754" s="108"/>
      <c r="B754" s="108"/>
      <c r="C754" s="108"/>
      <c r="D754" s="108"/>
      <c r="E754" s="108"/>
      <c r="F754" s="108"/>
      <c r="G754" s="108"/>
    </row>
    <row r="755" spans="1:7" ht="15.75">
      <c r="A755" s="108"/>
      <c r="B755" s="108"/>
      <c r="C755" s="108"/>
      <c r="D755" s="108"/>
      <c r="E755" s="108"/>
      <c r="F755" s="108"/>
      <c r="G755" s="108"/>
    </row>
    <row r="756" spans="1:7" ht="15.75">
      <c r="A756" s="108"/>
      <c r="B756" s="108"/>
      <c r="C756" s="108"/>
      <c r="D756" s="108"/>
      <c r="E756" s="108"/>
      <c r="F756" s="108"/>
      <c r="G756" s="108"/>
    </row>
    <row r="757" spans="1:7" ht="15.75">
      <c r="A757" s="108"/>
      <c r="B757" s="108"/>
      <c r="C757" s="108"/>
      <c r="D757" s="108"/>
      <c r="E757" s="108"/>
      <c r="F757" s="108"/>
      <c r="G757" s="108"/>
    </row>
    <row r="758" spans="1:7" ht="15.75">
      <c r="A758" s="108"/>
      <c r="B758" s="108"/>
      <c r="C758" s="108"/>
      <c r="D758" s="108"/>
      <c r="E758" s="108"/>
      <c r="F758" s="108"/>
      <c r="G758" s="108"/>
    </row>
    <row r="759" spans="1:7" ht="15.75">
      <c r="A759" s="108"/>
      <c r="B759" s="108"/>
      <c r="C759" s="108"/>
      <c r="D759" s="108"/>
      <c r="E759" s="108"/>
      <c r="F759" s="108"/>
      <c r="G759" s="108"/>
    </row>
    <row r="760" spans="1:7" ht="15.75">
      <c r="A760" s="108"/>
      <c r="B760" s="108"/>
      <c r="C760" s="108"/>
      <c r="D760" s="108"/>
      <c r="E760" s="108"/>
      <c r="F760" s="108"/>
      <c r="G760" s="108"/>
    </row>
    <row r="761" spans="1:7" ht="15.75">
      <c r="A761" s="108"/>
      <c r="B761" s="108"/>
      <c r="C761" s="108"/>
      <c r="D761" s="108"/>
      <c r="E761" s="108"/>
      <c r="F761" s="108"/>
      <c r="G761" s="108"/>
    </row>
    <row r="762" spans="1:7" ht="15.75">
      <c r="A762" s="108"/>
      <c r="B762" s="108"/>
      <c r="C762" s="108"/>
      <c r="D762" s="108"/>
      <c r="E762" s="108"/>
      <c r="F762" s="108"/>
      <c r="G762" s="108"/>
    </row>
    <row r="763" spans="1:7" ht="15.75">
      <c r="A763" s="108"/>
      <c r="B763" s="108"/>
      <c r="C763" s="108"/>
      <c r="D763" s="108"/>
      <c r="E763" s="108"/>
      <c r="F763" s="108"/>
      <c r="G763" s="108"/>
    </row>
    <row r="764" spans="1:7" ht="15.75">
      <c r="A764" s="108"/>
      <c r="B764" s="108"/>
      <c r="C764" s="108"/>
      <c r="D764" s="108"/>
      <c r="E764" s="108"/>
      <c r="F764" s="108"/>
      <c r="G764" s="108"/>
    </row>
    <row r="765" spans="1:7" ht="15.75">
      <c r="A765" s="108"/>
      <c r="B765" s="108"/>
      <c r="C765" s="108"/>
      <c r="D765" s="108"/>
      <c r="E765" s="108"/>
      <c r="F765" s="108"/>
      <c r="G765" s="108"/>
    </row>
    <row r="766" spans="1:7" ht="15.75">
      <c r="A766" s="108"/>
      <c r="B766" s="108"/>
      <c r="C766" s="108"/>
      <c r="D766" s="108"/>
      <c r="E766" s="108"/>
      <c r="F766" s="108"/>
      <c r="G766" s="108"/>
    </row>
    <row r="767" spans="1:7" ht="15.75">
      <c r="A767" s="108"/>
      <c r="B767" s="108"/>
      <c r="C767" s="108"/>
      <c r="D767" s="108"/>
      <c r="E767" s="108"/>
      <c r="F767" s="108"/>
      <c r="G767" s="108"/>
    </row>
    <row r="768" spans="1:7" ht="15.75">
      <c r="A768" s="108"/>
      <c r="B768" s="108"/>
      <c r="C768" s="108"/>
      <c r="D768" s="108"/>
      <c r="E768" s="108"/>
      <c r="F768" s="108"/>
      <c r="G768" s="108"/>
    </row>
    <row r="769" spans="1:7" ht="15.75">
      <c r="A769" s="108"/>
      <c r="B769" s="108"/>
      <c r="C769" s="108"/>
      <c r="D769" s="108"/>
      <c r="E769" s="108"/>
      <c r="F769" s="108"/>
      <c r="G769" s="108"/>
    </row>
    <row r="770" spans="1:7" ht="15.75">
      <c r="A770" s="108"/>
      <c r="B770" s="108"/>
      <c r="C770" s="108"/>
      <c r="D770" s="108"/>
      <c r="E770" s="108"/>
      <c r="F770" s="108"/>
      <c r="G770" s="108"/>
    </row>
    <row r="771" spans="1:7" ht="15.75">
      <c r="A771" s="108"/>
      <c r="B771" s="108"/>
      <c r="C771" s="108"/>
      <c r="D771" s="108"/>
      <c r="E771" s="108"/>
      <c r="F771" s="108"/>
      <c r="G771" s="108"/>
    </row>
    <row r="772" spans="1:7" ht="15.75">
      <c r="A772" s="108"/>
      <c r="B772" s="108"/>
      <c r="C772" s="108"/>
      <c r="D772" s="108"/>
      <c r="E772" s="108"/>
      <c r="F772" s="108"/>
      <c r="G772" s="108"/>
    </row>
    <row r="773" spans="1:7" ht="15.75">
      <c r="A773" s="108"/>
      <c r="B773" s="108"/>
      <c r="C773" s="108"/>
      <c r="D773" s="108"/>
      <c r="E773" s="108"/>
      <c r="F773" s="108"/>
      <c r="G773" s="108"/>
    </row>
    <row r="774" spans="1:7" ht="15.75">
      <c r="A774" s="108"/>
      <c r="B774" s="108"/>
      <c r="C774" s="108"/>
      <c r="D774" s="108"/>
      <c r="E774" s="108"/>
      <c r="F774" s="108"/>
      <c r="G774" s="108"/>
    </row>
    <row r="775" spans="1:7" ht="15.75">
      <c r="A775" s="108"/>
      <c r="B775" s="108"/>
      <c r="C775" s="108"/>
      <c r="D775" s="108"/>
      <c r="E775" s="108"/>
      <c r="F775" s="108"/>
      <c r="G775" s="108"/>
    </row>
    <row r="776" spans="1:7" ht="15.75">
      <c r="A776" s="108"/>
      <c r="B776" s="108"/>
      <c r="C776" s="108"/>
      <c r="D776" s="108"/>
      <c r="E776" s="108"/>
      <c r="F776" s="108"/>
      <c r="G776" s="108"/>
    </row>
    <row r="777" spans="1:7" ht="15.75">
      <c r="A777" s="108"/>
      <c r="B777" s="108"/>
      <c r="C777" s="108"/>
      <c r="D777" s="108"/>
      <c r="E777" s="108"/>
      <c r="F777" s="108"/>
      <c r="G777" s="108"/>
    </row>
    <row r="778" spans="1:7" ht="15.75">
      <c r="A778" s="108"/>
      <c r="B778" s="108"/>
      <c r="C778" s="108"/>
      <c r="D778" s="108"/>
      <c r="E778" s="108"/>
      <c r="F778" s="108"/>
      <c r="G778" s="108"/>
    </row>
    <row r="779" spans="1:7" ht="15.75">
      <c r="A779" s="108"/>
      <c r="B779" s="108"/>
      <c r="C779" s="108"/>
      <c r="D779" s="108"/>
      <c r="E779" s="108"/>
      <c r="F779" s="108"/>
      <c r="G779" s="108"/>
    </row>
    <row r="780" spans="1:7" ht="15.75">
      <c r="A780" s="108"/>
      <c r="B780" s="108"/>
      <c r="C780" s="108"/>
      <c r="D780" s="108"/>
      <c r="E780" s="108"/>
      <c r="F780" s="108"/>
      <c r="G780" s="108"/>
    </row>
    <row r="781" spans="1:7" ht="15.75">
      <c r="A781" s="108"/>
      <c r="B781" s="108"/>
      <c r="C781" s="108"/>
      <c r="D781" s="108"/>
      <c r="E781" s="108"/>
      <c r="F781" s="108"/>
      <c r="G781" s="108"/>
    </row>
    <row r="782" spans="1:7" ht="15.75">
      <c r="A782" s="108"/>
      <c r="B782" s="108"/>
      <c r="C782" s="108"/>
      <c r="D782" s="108"/>
      <c r="E782" s="108"/>
      <c r="F782" s="108"/>
      <c r="G782" s="108"/>
    </row>
    <row r="783" spans="1:7" ht="15.75">
      <c r="A783" s="108"/>
      <c r="B783" s="108"/>
      <c r="C783" s="108"/>
      <c r="D783" s="108"/>
      <c r="E783" s="108"/>
      <c r="F783" s="108"/>
      <c r="G783" s="108"/>
    </row>
    <row r="784" spans="1:7" ht="15.75">
      <c r="A784" s="108"/>
      <c r="B784" s="108"/>
      <c r="C784" s="108"/>
      <c r="D784" s="108"/>
      <c r="E784" s="108"/>
      <c r="F784" s="108"/>
      <c r="G784" s="108"/>
    </row>
    <row r="785" spans="1:7" ht="15.75">
      <c r="A785" s="108"/>
      <c r="B785" s="108"/>
      <c r="C785" s="108"/>
      <c r="D785" s="108"/>
      <c r="E785" s="108"/>
      <c r="F785" s="108"/>
      <c r="G785" s="108"/>
    </row>
    <row r="786" spans="1:7" ht="15.75">
      <c r="A786" s="108"/>
      <c r="B786" s="108"/>
      <c r="C786" s="108"/>
      <c r="D786" s="108"/>
      <c r="E786" s="108"/>
      <c r="F786" s="108"/>
      <c r="G786" s="108"/>
    </row>
    <row r="787" spans="1:7" ht="15.75">
      <c r="A787" s="108"/>
      <c r="B787" s="108"/>
      <c r="C787" s="108"/>
      <c r="D787" s="108"/>
      <c r="E787" s="108"/>
      <c r="F787" s="108"/>
      <c r="G787" s="108"/>
    </row>
    <row r="788" spans="1:7" ht="15.75">
      <c r="A788" s="108"/>
      <c r="B788" s="108"/>
      <c r="C788" s="108"/>
      <c r="D788" s="108"/>
      <c r="E788" s="108"/>
      <c r="F788" s="108"/>
      <c r="G788" s="108"/>
    </row>
    <row r="789" spans="1:7" ht="15.75">
      <c r="A789" s="108"/>
      <c r="B789" s="108"/>
      <c r="C789" s="108"/>
      <c r="D789" s="108"/>
      <c r="E789" s="108"/>
      <c r="F789" s="108"/>
      <c r="G789" s="108"/>
    </row>
    <row r="790" spans="1:7" ht="15.75">
      <c r="A790" s="108"/>
      <c r="B790" s="108"/>
      <c r="C790" s="108"/>
      <c r="D790" s="108"/>
      <c r="E790" s="108"/>
      <c r="F790" s="108"/>
      <c r="G790" s="108"/>
    </row>
    <row r="791" spans="1:7" ht="15.75">
      <c r="A791" s="108"/>
      <c r="B791" s="108"/>
      <c r="C791" s="108"/>
      <c r="D791" s="108"/>
      <c r="E791" s="108"/>
      <c r="F791" s="108"/>
      <c r="G791" s="108"/>
    </row>
    <row r="792" spans="1:7" ht="15.75">
      <c r="A792" s="108"/>
      <c r="B792" s="108"/>
      <c r="C792" s="108"/>
      <c r="D792" s="108"/>
      <c r="E792" s="108"/>
      <c r="F792" s="108"/>
      <c r="G792" s="108"/>
    </row>
    <row r="793" spans="1:7" ht="15.75">
      <c r="A793" s="108"/>
      <c r="B793" s="108"/>
      <c r="C793" s="108"/>
      <c r="D793" s="108"/>
      <c r="E793" s="108"/>
      <c r="F793" s="108"/>
      <c r="G793" s="108"/>
    </row>
    <row r="794" spans="1:7" ht="15.75">
      <c r="A794" s="108"/>
      <c r="B794" s="108"/>
      <c r="C794" s="108"/>
      <c r="D794" s="108"/>
      <c r="E794" s="108"/>
      <c r="F794" s="108"/>
      <c r="G794" s="108"/>
    </row>
    <row r="795" spans="1:7" ht="15.75">
      <c r="A795" s="108"/>
      <c r="B795" s="108"/>
      <c r="C795" s="108"/>
      <c r="D795" s="108"/>
      <c r="E795" s="108"/>
      <c r="F795" s="108"/>
      <c r="G795" s="108"/>
    </row>
    <row r="796" spans="1:7" ht="15.75">
      <c r="A796" s="108"/>
      <c r="B796" s="108"/>
      <c r="C796" s="108"/>
      <c r="D796" s="108"/>
      <c r="E796" s="108"/>
      <c r="F796" s="108"/>
      <c r="G796" s="108"/>
    </row>
    <row r="797" spans="1:7" ht="15.75">
      <c r="A797" s="108"/>
      <c r="B797" s="108"/>
      <c r="C797" s="108"/>
      <c r="D797" s="108"/>
      <c r="E797" s="108"/>
      <c r="F797" s="108"/>
      <c r="G797" s="108"/>
    </row>
    <row r="798" spans="1:7" ht="15.75">
      <c r="A798" s="108"/>
      <c r="B798" s="108"/>
      <c r="C798" s="108"/>
      <c r="D798" s="108"/>
      <c r="E798" s="108"/>
      <c r="F798" s="108"/>
      <c r="G798" s="108"/>
    </row>
    <row r="799" spans="1:7" ht="15.75">
      <c r="A799" s="108"/>
      <c r="B799" s="108"/>
      <c r="C799" s="108"/>
      <c r="D799" s="108"/>
      <c r="E799" s="108"/>
      <c r="F799" s="108"/>
      <c r="G799" s="108"/>
    </row>
    <row r="800" spans="1:7" ht="15.75">
      <c r="A800" s="108"/>
      <c r="B800" s="108"/>
      <c r="C800" s="108"/>
      <c r="D800" s="108"/>
      <c r="E800" s="108"/>
      <c r="F800" s="108"/>
      <c r="G800" s="108"/>
    </row>
    <row r="801" spans="1:7" ht="15.75">
      <c r="A801" s="108"/>
      <c r="B801" s="108"/>
      <c r="C801" s="108"/>
      <c r="D801" s="108"/>
      <c r="E801" s="108"/>
      <c r="F801" s="108"/>
      <c r="G801" s="108"/>
    </row>
    <row r="802" spans="1:7" ht="15.75">
      <c r="A802" s="108"/>
      <c r="B802" s="108"/>
      <c r="C802" s="108"/>
      <c r="D802" s="108"/>
      <c r="E802" s="108"/>
      <c r="F802" s="108"/>
      <c r="G802" s="108"/>
    </row>
    <row r="803" spans="1:7" ht="15.75">
      <c r="A803" s="108"/>
      <c r="B803" s="108"/>
      <c r="C803" s="108"/>
      <c r="D803" s="108"/>
      <c r="E803" s="108"/>
      <c r="F803" s="108"/>
      <c r="G803" s="108"/>
    </row>
    <row r="804" spans="1:7" ht="15.75">
      <c r="A804" s="108"/>
      <c r="B804" s="108"/>
      <c r="C804" s="108"/>
      <c r="D804" s="108"/>
      <c r="E804" s="108"/>
      <c r="F804" s="108"/>
      <c r="G804" s="108"/>
    </row>
    <row r="805" spans="1:7" ht="15.75">
      <c r="A805" s="108"/>
      <c r="B805" s="108"/>
      <c r="C805" s="108"/>
      <c r="D805" s="108"/>
      <c r="E805" s="108"/>
      <c r="F805" s="108"/>
      <c r="G805" s="108"/>
    </row>
    <row r="806" spans="1:7" ht="15.75">
      <c r="A806" s="108"/>
      <c r="B806" s="108"/>
      <c r="C806" s="108"/>
      <c r="D806" s="108"/>
      <c r="E806" s="108"/>
      <c r="F806" s="108"/>
      <c r="G806" s="108"/>
    </row>
    <row r="807" spans="1:7" ht="15.75">
      <c r="A807" s="108"/>
      <c r="B807" s="108"/>
      <c r="C807" s="108"/>
      <c r="D807" s="108"/>
      <c r="E807" s="108"/>
      <c r="F807" s="108"/>
      <c r="G807" s="108"/>
    </row>
    <row r="808" spans="1:7" ht="15.75">
      <c r="A808" s="108"/>
      <c r="B808" s="108"/>
      <c r="C808" s="108"/>
      <c r="D808" s="108"/>
      <c r="E808" s="108"/>
      <c r="F808" s="108"/>
      <c r="G808" s="108"/>
    </row>
    <row r="809" spans="1:7" ht="15.75">
      <c r="A809" s="108"/>
      <c r="B809" s="108"/>
      <c r="C809" s="108"/>
      <c r="D809" s="108"/>
      <c r="E809" s="108"/>
      <c r="F809" s="108"/>
      <c r="G809" s="108"/>
    </row>
    <row r="810" spans="1:7" ht="15.75">
      <c r="A810" s="108"/>
      <c r="B810" s="108"/>
      <c r="C810" s="108"/>
      <c r="D810" s="108"/>
      <c r="E810" s="108"/>
      <c r="F810" s="108"/>
      <c r="G810" s="108"/>
    </row>
    <row r="811" spans="1:7" ht="15.75">
      <c r="A811" s="108"/>
      <c r="B811" s="108"/>
      <c r="C811" s="108"/>
      <c r="D811" s="108"/>
      <c r="E811" s="108"/>
      <c r="F811" s="108"/>
      <c r="G811" s="108"/>
    </row>
    <row r="812" spans="1:7" ht="15.75">
      <c r="A812" s="108"/>
      <c r="B812" s="108"/>
      <c r="C812" s="108"/>
      <c r="D812" s="108"/>
      <c r="E812" s="108"/>
      <c r="F812" s="108"/>
      <c r="G812" s="108"/>
    </row>
    <row r="813" spans="1:7" ht="15.75">
      <c r="A813" s="108"/>
      <c r="B813" s="108"/>
      <c r="C813" s="108"/>
      <c r="D813" s="108"/>
      <c r="E813" s="108"/>
      <c r="F813" s="108"/>
      <c r="G813" s="108"/>
    </row>
    <row r="814" spans="1:7" ht="15.75">
      <c r="A814" s="108"/>
      <c r="B814" s="108"/>
      <c r="C814" s="108"/>
      <c r="D814" s="108"/>
      <c r="E814" s="108"/>
      <c r="F814" s="108"/>
      <c r="G814" s="108"/>
    </row>
    <row r="815" spans="1:7" ht="15.75">
      <c r="A815" s="108"/>
      <c r="B815" s="108"/>
      <c r="C815" s="108"/>
      <c r="D815" s="108"/>
      <c r="E815" s="108"/>
      <c r="F815" s="108"/>
      <c r="G815" s="108"/>
    </row>
    <row r="816" spans="1:7" ht="15.75">
      <c r="A816" s="108"/>
      <c r="B816" s="108"/>
      <c r="C816" s="108"/>
      <c r="D816" s="108"/>
      <c r="E816" s="108"/>
      <c r="F816" s="108"/>
      <c r="G816" s="108"/>
    </row>
    <row r="817" spans="1:7" ht="15.75">
      <c r="A817" s="108"/>
      <c r="B817" s="108"/>
      <c r="C817" s="108"/>
      <c r="D817" s="108"/>
      <c r="E817" s="108"/>
      <c r="F817" s="108"/>
      <c r="G817" s="108"/>
    </row>
    <row r="818" spans="1:7" ht="15.75">
      <c r="A818" s="108"/>
      <c r="B818" s="108"/>
      <c r="C818" s="108"/>
      <c r="D818" s="108"/>
      <c r="E818" s="108"/>
      <c r="F818" s="108"/>
      <c r="G818" s="108"/>
    </row>
    <row r="819" spans="1:7" ht="15.75">
      <c r="A819" s="108"/>
      <c r="B819" s="108"/>
      <c r="C819" s="108"/>
      <c r="D819" s="108"/>
      <c r="E819" s="108"/>
      <c r="F819" s="108"/>
      <c r="G819" s="108"/>
    </row>
    <row r="820" spans="1:7" ht="15.75">
      <c r="A820" s="108"/>
      <c r="B820" s="108"/>
      <c r="C820" s="108"/>
      <c r="D820" s="108"/>
      <c r="E820" s="108"/>
      <c r="F820" s="108"/>
      <c r="G820" s="108"/>
    </row>
    <row r="821" spans="1:7" ht="15.75">
      <c r="A821" s="108"/>
      <c r="B821" s="108"/>
      <c r="C821" s="108"/>
      <c r="D821" s="108"/>
      <c r="E821" s="108"/>
      <c r="F821" s="108"/>
      <c r="G821" s="108"/>
    </row>
    <row r="822" spans="1:7" ht="15.75">
      <c r="A822" s="108"/>
      <c r="B822" s="108"/>
      <c r="C822" s="108"/>
      <c r="D822" s="108"/>
      <c r="E822" s="108"/>
      <c r="F822" s="108"/>
      <c r="G822" s="108"/>
    </row>
    <row r="823" spans="1:7" ht="15.75">
      <c r="A823" s="108"/>
      <c r="B823" s="108"/>
      <c r="C823" s="108"/>
      <c r="D823" s="108"/>
      <c r="E823" s="108"/>
      <c r="F823" s="108"/>
      <c r="G823" s="108"/>
    </row>
    <row r="824" spans="1:7" ht="15.75">
      <c r="A824" s="108"/>
      <c r="B824" s="108"/>
      <c r="C824" s="108"/>
      <c r="D824" s="108"/>
      <c r="E824" s="108"/>
      <c r="F824" s="108"/>
      <c r="G824" s="108"/>
    </row>
    <row r="825" spans="1:7" ht="15.75">
      <c r="A825" s="108"/>
      <c r="B825" s="108"/>
      <c r="C825" s="108"/>
      <c r="D825" s="108"/>
      <c r="E825" s="108"/>
      <c r="F825" s="108"/>
      <c r="G825" s="108"/>
    </row>
    <row r="826" spans="1:7" ht="15.75">
      <c r="A826" s="108"/>
      <c r="B826" s="108"/>
      <c r="C826" s="108"/>
      <c r="D826" s="108"/>
      <c r="E826" s="108"/>
      <c r="F826" s="108"/>
      <c r="G826" s="108"/>
    </row>
    <row r="827" spans="1:7" ht="15.75">
      <c r="A827" s="108"/>
      <c r="B827" s="108"/>
      <c r="C827" s="108"/>
      <c r="D827" s="108"/>
      <c r="E827" s="108"/>
      <c r="F827" s="108"/>
      <c r="G827" s="108"/>
    </row>
    <row r="828" spans="1:7" ht="15.75">
      <c r="A828" s="108"/>
      <c r="B828" s="108"/>
      <c r="C828" s="108"/>
      <c r="D828" s="108"/>
      <c r="E828" s="108"/>
      <c r="F828" s="108"/>
      <c r="G828" s="108"/>
    </row>
    <row r="829" spans="1:7" ht="15.75">
      <c r="A829" s="108"/>
      <c r="B829" s="108"/>
      <c r="C829" s="108"/>
      <c r="D829" s="108"/>
      <c r="E829" s="108"/>
      <c r="F829" s="108"/>
      <c r="G829" s="108"/>
    </row>
    <row r="830" spans="1:7" ht="15.75">
      <c r="A830" s="108"/>
      <c r="B830" s="108"/>
      <c r="C830" s="108"/>
      <c r="D830" s="108"/>
      <c r="E830" s="108"/>
      <c r="F830" s="108"/>
      <c r="G830" s="108"/>
    </row>
    <row r="831" spans="1:7" ht="15.75">
      <c r="A831" s="108"/>
      <c r="B831" s="108"/>
      <c r="C831" s="108"/>
      <c r="D831" s="108"/>
      <c r="E831" s="108"/>
      <c r="F831" s="108"/>
      <c r="G831" s="108"/>
    </row>
    <row r="832" spans="1:7" ht="15.75">
      <c r="A832" s="108"/>
      <c r="B832" s="108"/>
      <c r="C832" s="108"/>
      <c r="D832" s="108"/>
      <c r="E832" s="108"/>
      <c r="F832" s="108"/>
      <c r="G832" s="108"/>
    </row>
    <row r="833" spans="1:7" ht="15.75">
      <c r="A833" s="108"/>
      <c r="B833" s="108"/>
      <c r="C833" s="108"/>
      <c r="D833" s="108"/>
      <c r="E833" s="108"/>
      <c r="F833" s="108"/>
      <c r="G833" s="108"/>
    </row>
    <row r="834" spans="1:7" ht="15.75">
      <c r="A834" s="108"/>
      <c r="B834" s="108"/>
      <c r="C834" s="108"/>
      <c r="D834" s="108"/>
      <c r="E834" s="108"/>
      <c r="F834" s="108"/>
      <c r="G834" s="108"/>
    </row>
    <row r="835" spans="1:7" ht="15.75">
      <c r="A835" s="108"/>
      <c r="B835" s="108"/>
      <c r="C835" s="108"/>
      <c r="D835" s="108"/>
      <c r="E835" s="108"/>
      <c r="F835" s="108"/>
      <c r="G835" s="108"/>
    </row>
    <row r="836" spans="1:7" ht="15.75">
      <c r="A836" s="108"/>
      <c r="B836" s="108"/>
      <c r="C836" s="108"/>
      <c r="D836" s="108"/>
      <c r="E836" s="108"/>
      <c r="F836" s="108"/>
      <c r="G836" s="108"/>
    </row>
    <row r="837" spans="1:7" ht="15.75">
      <c r="A837" s="108"/>
      <c r="B837" s="108"/>
      <c r="C837" s="108"/>
      <c r="D837" s="108"/>
      <c r="E837" s="108"/>
      <c r="F837" s="108"/>
      <c r="G837" s="108"/>
    </row>
    <row r="838" spans="1:7" ht="15.75">
      <c r="A838" s="108"/>
      <c r="B838" s="108"/>
      <c r="C838" s="108"/>
      <c r="D838" s="108"/>
      <c r="E838" s="108"/>
      <c r="F838" s="108"/>
      <c r="G838" s="108"/>
    </row>
    <row r="839" spans="1:7" ht="15.75">
      <c r="A839" s="108"/>
      <c r="B839" s="108"/>
      <c r="C839" s="108"/>
      <c r="D839" s="108"/>
      <c r="E839" s="108"/>
      <c r="F839" s="108"/>
      <c r="G839" s="108"/>
    </row>
    <row r="840" spans="1:7" ht="15.75">
      <c r="A840" s="108"/>
      <c r="B840" s="108"/>
      <c r="C840" s="108"/>
      <c r="D840" s="108"/>
      <c r="E840" s="108"/>
      <c r="F840" s="108"/>
      <c r="G840" s="108"/>
    </row>
    <row r="841" spans="1:7" ht="15.75">
      <c r="A841" s="108"/>
      <c r="B841" s="108"/>
      <c r="C841" s="108"/>
      <c r="D841" s="108"/>
      <c r="E841" s="108"/>
      <c r="F841" s="108"/>
      <c r="G841" s="108"/>
    </row>
    <row r="842" spans="1:7" ht="15.75">
      <c r="A842" s="108"/>
      <c r="B842" s="108"/>
      <c r="C842" s="108"/>
      <c r="D842" s="108"/>
      <c r="E842" s="108"/>
      <c r="F842" s="108"/>
      <c r="G842" s="108"/>
    </row>
    <row r="843" spans="1:7" ht="15.75">
      <c r="A843" s="108"/>
      <c r="B843" s="108"/>
      <c r="C843" s="108"/>
      <c r="D843" s="108"/>
      <c r="E843" s="108"/>
      <c r="F843" s="108"/>
      <c r="G843" s="108"/>
    </row>
    <row r="844" spans="1:7" ht="15.75">
      <c r="A844" s="108"/>
      <c r="B844" s="108"/>
      <c r="C844" s="108"/>
      <c r="D844" s="108"/>
      <c r="E844" s="108"/>
      <c r="F844" s="108"/>
      <c r="G844" s="108"/>
    </row>
    <row r="845" spans="1:7" ht="15.75">
      <c r="A845" s="108"/>
      <c r="B845" s="108"/>
      <c r="C845" s="108"/>
      <c r="D845" s="108"/>
      <c r="E845" s="108"/>
      <c r="F845" s="108"/>
      <c r="G845" s="108"/>
    </row>
    <row r="846" spans="1:7" ht="15.75">
      <c r="A846" s="108"/>
      <c r="B846" s="108"/>
      <c r="C846" s="108"/>
      <c r="D846" s="108"/>
      <c r="E846" s="108"/>
      <c r="F846" s="108"/>
      <c r="G846" s="108"/>
    </row>
    <row r="847" spans="1:7" ht="15.75">
      <c r="A847" s="108"/>
      <c r="B847" s="108"/>
      <c r="C847" s="108"/>
      <c r="D847" s="108"/>
      <c r="E847" s="108"/>
      <c r="F847" s="108"/>
      <c r="G847" s="108"/>
    </row>
    <row r="848" spans="1:7" ht="15.75">
      <c r="A848" s="108"/>
      <c r="B848" s="108"/>
      <c r="C848" s="108"/>
      <c r="D848" s="108"/>
      <c r="E848" s="108"/>
      <c r="F848" s="108"/>
      <c r="G848" s="108"/>
    </row>
    <row r="849" spans="1:7" ht="15.75">
      <c r="A849" s="108"/>
      <c r="B849" s="108"/>
      <c r="C849" s="108"/>
      <c r="D849" s="108"/>
      <c r="E849" s="108"/>
      <c r="F849" s="108"/>
      <c r="G849" s="108"/>
    </row>
    <row r="850" spans="1:7" ht="15.75">
      <c r="A850" s="108"/>
      <c r="B850" s="108"/>
      <c r="C850" s="108"/>
      <c r="D850" s="108"/>
      <c r="E850" s="108"/>
      <c r="F850" s="108"/>
      <c r="G850" s="108"/>
    </row>
    <row r="851" spans="1:7" ht="15.75">
      <c r="A851" s="108"/>
      <c r="B851" s="108"/>
      <c r="C851" s="108"/>
      <c r="D851" s="108"/>
      <c r="E851" s="108"/>
      <c r="F851" s="108"/>
      <c r="G851" s="108"/>
    </row>
    <row r="852" spans="1:7" ht="15.75">
      <c r="A852" s="108"/>
      <c r="B852" s="108"/>
      <c r="C852" s="108"/>
      <c r="D852" s="108"/>
      <c r="E852" s="108"/>
      <c r="F852" s="108"/>
      <c r="G852" s="108"/>
    </row>
    <row r="853" spans="1:7" ht="15.75">
      <c r="A853" s="108"/>
      <c r="B853" s="108"/>
      <c r="C853" s="108"/>
      <c r="D853" s="108"/>
      <c r="E853" s="108"/>
      <c r="F853" s="108"/>
      <c r="G853" s="108"/>
    </row>
    <row r="854" spans="1:7" ht="15.75">
      <c r="A854" s="108"/>
      <c r="B854" s="108"/>
      <c r="C854" s="108"/>
      <c r="D854" s="108"/>
      <c r="E854" s="108"/>
      <c r="F854" s="108"/>
      <c r="G854" s="108"/>
    </row>
    <row r="855" spans="1:7" ht="15.75">
      <c r="A855" s="108"/>
      <c r="B855" s="108"/>
      <c r="C855" s="108"/>
      <c r="D855" s="108"/>
      <c r="E855" s="108"/>
      <c r="F855" s="108"/>
      <c r="G855" s="108"/>
    </row>
    <row r="856" spans="1:7" ht="15.75">
      <c r="A856" s="108"/>
      <c r="B856" s="108"/>
      <c r="C856" s="108"/>
      <c r="D856" s="108"/>
      <c r="E856" s="108"/>
      <c r="F856" s="108"/>
      <c r="G856" s="108"/>
    </row>
    <row r="857" spans="1:7" ht="15.75">
      <c r="A857" s="108"/>
      <c r="B857" s="108"/>
      <c r="C857" s="108"/>
      <c r="D857" s="108"/>
      <c r="E857" s="108"/>
      <c r="F857" s="108"/>
      <c r="G857" s="108"/>
    </row>
    <row r="858" spans="1:7" ht="15.75">
      <c r="A858" s="108"/>
      <c r="B858" s="108"/>
      <c r="C858" s="108"/>
      <c r="D858" s="108"/>
      <c r="E858" s="108"/>
      <c r="F858" s="108"/>
      <c r="G858" s="108"/>
    </row>
    <row r="859" spans="1:7" ht="15.75">
      <c r="A859" s="108"/>
      <c r="B859" s="108"/>
      <c r="C859" s="108"/>
      <c r="D859" s="108"/>
      <c r="E859" s="108"/>
      <c r="F859" s="108"/>
      <c r="G859" s="108"/>
    </row>
    <row r="860" spans="1:7" ht="15.75">
      <c r="A860" s="108"/>
      <c r="B860" s="108"/>
      <c r="C860" s="108"/>
      <c r="D860" s="108"/>
      <c r="E860" s="108"/>
      <c r="F860" s="108"/>
      <c r="G860" s="108"/>
    </row>
    <row r="861" spans="1:7" ht="15.75">
      <c r="A861" s="108"/>
      <c r="B861" s="108"/>
      <c r="C861" s="108"/>
      <c r="D861" s="108"/>
      <c r="E861" s="108"/>
      <c r="F861" s="108"/>
      <c r="G861" s="108"/>
    </row>
    <row r="862" spans="1:7" ht="15.75">
      <c r="A862" s="108"/>
      <c r="B862" s="108"/>
      <c r="C862" s="108"/>
      <c r="D862" s="108"/>
      <c r="E862" s="108"/>
      <c r="F862" s="108"/>
      <c r="G862" s="108"/>
    </row>
    <row r="863" spans="1:7" ht="15.75">
      <c r="A863" s="108"/>
      <c r="B863" s="108"/>
      <c r="C863" s="108"/>
      <c r="D863" s="108"/>
      <c r="E863" s="108"/>
      <c r="F863" s="108"/>
      <c r="G863" s="108"/>
    </row>
    <row r="864" spans="1:7" ht="15.75">
      <c r="A864" s="108"/>
      <c r="B864" s="108"/>
      <c r="C864" s="108"/>
      <c r="D864" s="108"/>
      <c r="E864" s="108"/>
      <c r="F864" s="108"/>
      <c r="G864" s="108"/>
    </row>
    <row r="865" spans="1:7" ht="15.75">
      <c r="A865" s="108"/>
      <c r="B865" s="108"/>
      <c r="C865" s="108"/>
      <c r="D865" s="108"/>
      <c r="E865" s="108"/>
      <c r="F865" s="108"/>
      <c r="G865" s="108"/>
    </row>
    <row r="866" spans="1:7" ht="15.75">
      <c r="A866" s="108"/>
      <c r="B866" s="108"/>
      <c r="C866" s="108"/>
      <c r="D866" s="108"/>
      <c r="E866" s="108"/>
      <c r="F866" s="108"/>
      <c r="G866" s="108"/>
    </row>
    <row r="867" spans="1:7" ht="15.75">
      <c r="A867" s="108"/>
      <c r="B867" s="108"/>
      <c r="C867" s="108"/>
      <c r="D867" s="108"/>
      <c r="E867" s="108"/>
      <c r="F867" s="108"/>
      <c r="G867" s="108"/>
    </row>
    <row r="868" spans="1:7" ht="15.75">
      <c r="A868" s="108"/>
      <c r="B868" s="108"/>
      <c r="C868" s="108"/>
      <c r="D868" s="108"/>
      <c r="E868" s="108"/>
      <c r="F868" s="108"/>
      <c r="G868" s="108"/>
    </row>
    <row r="869" spans="1:7" ht="15.75">
      <c r="A869" s="108"/>
      <c r="B869" s="108"/>
      <c r="C869" s="108"/>
      <c r="D869" s="108"/>
      <c r="E869" s="108"/>
      <c r="F869" s="108"/>
      <c r="G869" s="108"/>
    </row>
    <row r="870" spans="1:7" ht="15.75">
      <c r="A870" s="108"/>
      <c r="B870" s="108"/>
      <c r="C870" s="108"/>
      <c r="D870" s="108"/>
      <c r="E870" s="108"/>
      <c r="F870" s="108"/>
      <c r="G870" s="108"/>
    </row>
    <row r="871" spans="1:7" ht="15.75">
      <c r="A871" s="108"/>
      <c r="B871" s="108"/>
      <c r="C871" s="108"/>
      <c r="D871" s="108"/>
      <c r="E871" s="108"/>
      <c r="F871" s="108"/>
      <c r="G871" s="108"/>
    </row>
    <row r="872" spans="1:7" ht="15.75">
      <c r="A872" s="108"/>
      <c r="B872" s="108"/>
      <c r="C872" s="108"/>
      <c r="D872" s="108"/>
      <c r="E872" s="108"/>
      <c r="F872" s="108"/>
      <c r="G872" s="108"/>
    </row>
    <row r="873" spans="1:7" ht="15.75">
      <c r="A873" s="108"/>
      <c r="B873" s="108"/>
      <c r="C873" s="108"/>
      <c r="D873" s="108"/>
      <c r="E873" s="108"/>
      <c r="F873" s="108"/>
      <c r="G873" s="108"/>
    </row>
    <row r="874" spans="1:7" ht="15.75">
      <c r="A874" s="108"/>
      <c r="B874" s="108"/>
      <c r="C874" s="108"/>
      <c r="D874" s="108"/>
      <c r="E874" s="108"/>
      <c r="F874" s="108"/>
      <c r="G874" s="108"/>
    </row>
    <row r="875" spans="1:7" ht="15.75">
      <c r="A875" s="108"/>
      <c r="B875" s="108"/>
      <c r="C875" s="108"/>
      <c r="D875" s="108"/>
      <c r="E875" s="108"/>
      <c r="F875" s="108"/>
      <c r="G875" s="108"/>
    </row>
    <row r="876" spans="1:7" ht="15.75">
      <c r="A876" s="108"/>
      <c r="B876" s="108"/>
      <c r="C876" s="108"/>
      <c r="D876" s="108"/>
      <c r="E876" s="108"/>
      <c r="F876" s="108"/>
      <c r="G876" s="108"/>
    </row>
    <row r="877" spans="1:7" ht="15.75">
      <c r="A877" s="108"/>
      <c r="B877" s="108"/>
      <c r="C877" s="108"/>
      <c r="D877" s="108"/>
      <c r="E877" s="108"/>
      <c r="F877" s="108"/>
      <c r="G877" s="108"/>
    </row>
    <row r="878" spans="1:7" ht="15.75">
      <c r="A878" s="108"/>
      <c r="B878" s="108"/>
      <c r="C878" s="108"/>
      <c r="D878" s="108"/>
      <c r="E878" s="108"/>
      <c r="F878" s="108"/>
      <c r="G878" s="108"/>
    </row>
    <row r="879" spans="1:7" ht="15.75">
      <c r="A879" s="108"/>
      <c r="B879" s="108"/>
      <c r="C879" s="108"/>
      <c r="D879" s="108"/>
      <c r="E879" s="108"/>
      <c r="F879" s="108"/>
      <c r="G879" s="108"/>
    </row>
    <row r="880" spans="1:7" ht="15.75">
      <c r="A880" s="108"/>
      <c r="B880" s="108"/>
      <c r="C880" s="108"/>
      <c r="D880" s="108"/>
      <c r="E880" s="108"/>
      <c r="F880" s="108"/>
      <c r="G880" s="108"/>
    </row>
    <row r="881" spans="1:7" ht="15.75">
      <c r="A881" s="108"/>
      <c r="B881" s="108"/>
      <c r="C881" s="108"/>
      <c r="D881" s="108"/>
      <c r="E881" s="108"/>
      <c r="F881" s="108"/>
      <c r="G881" s="108"/>
    </row>
    <row r="882" spans="1:7" ht="15.75">
      <c r="A882" s="108"/>
      <c r="B882" s="108"/>
      <c r="C882" s="108"/>
      <c r="D882" s="108"/>
      <c r="E882" s="108"/>
      <c r="F882" s="108"/>
      <c r="G882" s="108"/>
    </row>
    <row r="883" spans="1:7" ht="15.75">
      <c r="A883" s="108"/>
      <c r="B883" s="108"/>
      <c r="C883" s="108"/>
      <c r="D883" s="108"/>
      <c r="E883" s="108"/>
      <c r="F883" s="108"/>
      <c r="G883" s="108"/>
    </row>
    <row r="884" spans="1:7" ht="15.75">
      <c r="A884" s="108"/>
      <c r="B884" s="108"/>
      <c r="C884" s="108"/>
      <c r="D884" s="108"/>
      <c r="E884" s="108"/>
      <c r="F884" s="108"/>
      <c r="G884" s="108"/>
    </row>
    <row r="885" spans="1:7" ht="15.75">
      <c r="A885" s="108"/>
      <c r="B885" s="108"/>
      <c r="C885" s="108"/>
      <c r="D885" s="108"/>
      <c r="E885" s="108"/>
      <c r="F885" s="108"/>
      <c r="G885" s="108"/>
    </row>
    <row r="886" spans="1:7" ht="15.75">
      <c r="A886" s="108"/>
      <c r="B886" s="108"/>
      <c r="C886" s="108"/>
      <c r="D886" s="108"/>
      <c r="E886" s="108"/>
      <c r="F886" s="108"/>
      <c r="G886" s="108"/>
    </row>
    <row r="887" spans="1:7" ht="15.75">
      <c r="A887" s="108"/>
      <c r="B887" s="108"/>
      <c r="C887" s="108"/>
      <c r="D887" s="108"/>
      <c r="E887" s="108"/>
      <c r="F887" s="108"/>
      <c r="G887" s="108"/>
    </row>
    <row r="888" spans="1:7" ht="15.75">
      <c r="A888" s="108"/>
      <c r="B888" s="108"/>
      <c r="C888" s="108"/>
      <c r="D888" s="108"/>
      <c r="E888" s="108"/>
      <c r="F888" s="108"/>
      <c r="G888" s="108"/>
    </row>
    <row r="889" spans="1:7" ht="15.75">
      <c r="A889" s="108"/>
      <c r="B889" s="108"/>
      <c r="C889" s="108"/>
      <c r="D889" s="108"/>
      <c r="E889" s="108"/>
      <c r="F889" s="108"/>
      <c r="G889" s="108"/>
    </row>
    <row r="890" spans="1:7" ht="15.75">
      <c r="A890" s="108"/>
      <c r="B890" s="108"/>
      <c r="C890" s="108"/>
      <c r="D890" s="108"/>
      <c r="E890" s="108"/>
      <c r="F890" s="108"/>
      <c r="G890" s="108"/>
    </row>
    <row r="891" spans="1:7" ht="15.75">
      <c r="A891" s="108"/>
      <c r="B891" s="108"/>
      <c r="C891" s="108"/>
      <c r="D891" s="108"/>
      <c r="E891" s="108"/>
      <c r="F891" s="108"/>
      <c r="G891" s="108"/>
    </row>
    <row r="892" spans="1:7" ht="15.75">
      <c r="A892" s="108"/>
      <c r="B892" s="108"/>
      <c r="C892" s="108"/>
      <c r="D892" s="108"/>
      <c r="E892" s="108"/>
      <c r="F892" s="108"/>
      <c r="G892" s="108"/>
    </row>
    <row r="893" spans="1:7" ht="15.75">
      <c r="A893" s="108"/>
      <c r="B893" s="108"/>
      <c r="C893" s="108"/>
      <c r="D893" s="108"/>
      <c r="E893" s="108"/>
      <c r="F893" s="108"/>
      <c r="G893" s="108"/>
    </row>
    <row r="894" spans="1:7" ht="15.75">
      <c r="A894" s="108"/>
      <c r="B894" s="108"/>
      <c r="C894" s="108"/>
      <c r="D894" s="108"/>
      <c r="E894" s="108"/>
      <c r="F894" s="108"/>
      <c r="G894" s="108"/>
    </row>
    <row r="895" spans="1:7" ht="15.75">
      <c r="A895" s="108"/>
      <c r="B895" s="108"/>
      <c r="C895" s="108"/>
      <c r="D895" s="108"/>
      <c r="E895" s="108"/>
      <c r="F895" s="108"/>
      <c r="G895" s="108"/>
    </row>
    <row r="896" spans="1:7" ht="15.75">
      <c r="A896" s="108"/>
      <c r="B896" s="108"/>
      <c r="C896" s="108"/>
      <c r="D896" s="108"/>
      <c r="E896" s="108"/>
      <c r="F896" s="108"/>
      <c r="G896" s="108"/>
    </row>
    <row r="897" spans="1:7" ht="15.75">
      <c r="A897" s="108"/>
      <c r="B897" s="108"/>
      <c r="C897" s="108"/>
      <c r="D897" s="108"/>
      <c r="E897" s="108"/>
      <c r="F897" s="108"/>
      <c r="G897" s="108"/>
    </row>
    <row r="898" spans="1:7" ht="15.75">
      <c r="A898" s="108"/>
      <c r="B898" s="108"/>
      <c r="C898" s="108"/>
      <c r="D898" s="108"/>
      <c r="E898" s="108"/>
      <c r="F898" s="108"/>
      <c r="G898" s="108"/>
    </row>
    <row r="899" spans="1:7" ht="15.75">
      <c r="A899" s="108"/>
      <c r="B899" s="108"/>
      <c r="C899" s="108"/>
      <c r="D899" s="108"/>
      <c r="E899" s="108"/>
      <c r="F899" s="108"/>
      <c r="G899" s="108"/>
    </row>
    <row r="900" spans="1:7" ht="15.75">
      <c r="A900" s="108"/>
      <c r="B900" s="108"/>
      <c r="C900" s="108"/>
      <c r="D900" s="108"/>
      <c r="E900" s="108"/>
      <c r="F900" s="108"/>
      <c r="G900" s="108"/>
    </row>
    <row r="901" spans="1:7" ht="15.75">
      <c r="A901" s="108"/>
      <c r="B901" s="108"/>
      <c r="C901" s="108"/>
      <c r="D901" s="108"/>
      <c r="E901" s="108"/>
      <c r="F901" s="108"/>
      <c r="G901" s="108"/>
    </row>
    <row r="902" spans="1:7" ht="15.75">
      <c r="A902" s="108"/>
      <c r="B902" s="108"/>
      <c r="C902" s="108"/>
      <c r="D902" s="108"/>
      <c r="E902" s="108"/>
      <c r="F902" s="108"/>
      <c r="G902" s="108"/>
    </row>
    <row r="903" spans="1:7" ht="15.75">
      <c r="A903" s="108"/>
      <c r="B903" s="108"/>
      <c r="C903" s="108"/>
      <c r="D903" s="108"/>
      <c r="E903" s="108"/>
      <c r="F903" s="108"/>
      <c r="G903" s="108"/>
    </row>
    <row r="904" spans="1:7" ht="15.75">
      <c r="A904" s="108"/>
      <c r="B904" s="108"/>
      <c r="C904" s="108"/>
      <c r="D904" s="108"/>
      <c r="E904" s="108"/>
      <c r="F904" s="108"/>
      <c r="G904" s="108"/>
    </row>
    <row r="905" spans="1:7" ht="15.75">
      <c r="A905" s="108"/>
      <c r="B905" s="108"/>
      <c r="C905" s="108"/>
      <c r="D905" s="108"/>
      <c r="E905" s="108"/>
      <c r="F905" s="108"/>
      <c r="G905" s="108"/>
    </row>
    <row r="906" spans="1:7" ht="15.75">
      <c r="A906" s="108"/>
      <c r="B906" s="108"/>
      <c r="C906" s="108"/>
      <c r="D906" s="108"/>
      <c r="E906" s="108"/>
      <c r="F906" s="108"/>
      <c r="G906" s="108"/>
    </row>
    <row r="907" spans="1:7" ht="15.75">
      <c r="A907" s="108"/>
      <c r="B907" s="108"/>
      <c r="C907" s="108"/>
      <c r="D907" s="108"/>
      <c r="E907" s="108"/>
      <c r="F907" s="108"/>
      <c r="G907" s="108"/>
    </row>
    <row r="908" spans="1:7" ht="15.75">
      <c r="A908" s="108"/>
      <c r="B908" s="108"/>
      <c r="C908" s="108"/>
      <c r="D908" s="108"/>
      <c r="E908" s="108"/>
      <c r="F908" s="108"/>
      <c r="G908" s="108"/>
    </row>
    <row r="909" spans="1:7" ht="15.75">
      <c r="A909" s="108"/>
      <c r="B909" s="108"/>
      <c r="C909" s="108"/>
      <c r="D909" s="108"/>
      <c r="E909" s="108"/>
      <c r="F909" s="108"/>
      <c r="G909" s="108"/>
    </row>
    <row r="910" spans="1:7" ht="15.75">
      <c r="A910" s="108"/>
      <c r="B910" s="108"/>
      <c r="C910" s="108"/>
      <c r="D910" s="108"/>
      <c r="E910" s="108"/>
      <c r="F910" s="108"/>
      <c r="G910" s="108"/>
    </row>
    <row r="911" spans="1:7" ht="15.75">
      <c r="A911" s="108"/>
      <c r="B911" s="108"/>
      <c r="C911" s="108"/>
      <c r="D911" s="108"/>
      <c r="E911" s="108"/>
      <c r="F911" s="108"/>
      <c r="G911" s="108"/>
    </row>
    <row r="912" spans="1:7" ht="15.75">
      <c r="A912" s="108"/>
      <c r="B912" s="108"/>
      <c r="C912" s="108"/>
      <c r="D912" s="108"/>
      <c r="E912" s="108"/>
      <c r="F912" s="108"/>
      <c r="G912" s="108"/>
    </row>
    <row r="913" spans="1:7" ht="15.75">
      <c r="A913" s="108"/>
      <c r="B913" s="108"/>
      <c r="C913" s="108"/>
      <c r="D913" s="108"/>
      <c r="E913" s="108"/>
      <c r="F913" s="108"/>
      <c r="G913" s="108"/>
    </row>
    <row r="914" spans="1:7" ht="15.75">
      <c r="A914" s="108"/>
      <c r="B914" s="108"/>
      <c r="C914" s="108"/>
      <c r="D914" s="108"/>
      <c r="E914" s="108"/>
      <c r="F914" s="108"/>
      <c r="G914" s="108"/>
    </row>
    <row r="915" spans="1:7" ht="15.75">
      <c r="A915" s="108"/>
      <c r="B915" s="108"/>
      <c r="C915" s="108"/>
      <c r="D915" s="108"/>
      <c r="E915" s="108"/>
      <c r="F915" s="108"/>
      <c r="G915" s="108"/>
    </row>
    <row r="916" spans="1:7" ht="15.75">
      <c r="A916" s="108"/>
      <c r="B916" s="108"/>
      <c r="C916" s="108"/>
      <c r="D916" s="108"/>
      <c r="E916" s="108"/>
      <c r="F916" s="108"/>
      <c r="G916" s="108"/>
    </row>
    <row r="917" spans="1:7" ht="15.75">
      <c r="A917" s="108"/>
      <c r="B917" s="108"/>
      <c r="C917" s="108"/>
      <c r="D917" s="108"/>
      <c r="E917" s="108"/>
      <c r="F917" s="108"/>
      <c r="G917" s="108"/>
    </row>
    <row r="918" spans="1:7" ht="15.75">
      <c r="A918" s="108"/>
      <c r="B918" s="108"/>
      <c r="C918" s="108"/>
      <c r="D918" s="108"/>
      <c r="E918" s="108"/>
      <c r="F918" s="108"/>
      <c r="G918" s="108"/>
    </row>
    <row r="919" spans="1:7" ht="15.75">
      <c r="A919" s="108"/>
      <c r="B919" s="108"/>
      <c r="C919" s="108"/>
      <c r="D919" s="108"/>
      <c r="E919" s="108"/>
      <c r="F919" s="108"/>
      <c r="G919" s="108"/>
    </row>
    <row r="920" spans="1:7" ht="15.75">
      <c r="A920" s="108"/>
      <c r="B920" s="108"/>
      <c r="C920" s="108"/>
      <c r="D920" s="108"/>
      <c r="E920" s="108"/>
      <c r="F920" s="108"/>
      <c r="G920" s="108"/>
    </row>
    <row r="921" spans="1:7" ht="15.75">
      <c r="A921" s="108"/>
      <c r="B921" s="108"/>
      <c r="C921" s="108"/>
      <c r="D921" s="108"/>
      <c r="E921" s="108"/>
      <c r="F921" s="108"/>
      <c r="G921" s="108"/>
    </row>
    <row r="922" spans="1:7" ht="15.75">
      <c r="A922" s="108"/>
      <c r="B922" s="108"/>
      <c r="C922" s="108"/>
      <c r="D922" s="108"/>
      <c r="E922" s="108"/>
      <c r="F922" s="108"/>
      <c r="G922" s="108"/>
    </row>
    <row r="923" spans="1:7" ht="15.75">
      <c r="A923" s="108"/>
      <c r="B923" s="108"/>
      <c r="C923" s="108"/>
      <c r="D923" s="108"/>
      <c r="E923" s="108"/>
      <c r="F923" s="108"/>
      <c r="G923" s="108"/>
    </row>
    <row r="924" spans="1:7" ht="15.75">
      <c r="A924" s="108"/>
      <c r="B924" s="108"/>
      <c r="C924" s="108"/>
      <c r="D924" s="108"/>
      <c r="E924" s="108"/>
      <c r="F924" s="108"/>
      <c r="G924" s="108"/>
    </row>
    <row r="925" spans="1:7" ht="15.75">
      <c r="A925" s="108"/>
      <c r="B925" s="108"/>
      <c r="C925" s="108"/>
      <c r="D925" s="108"/>
      <c r="E925" s="108"/>
      <c r="F925" s="108"/>
      <c r="G925" s="108"/>
    </row>
    <row r="926" spans="1:7" ht="15.75">
      <c r="A926" s="108"/>
      <c r="B926" s="108"/>
      <c r="C926" s="108"/>
      <c r="D926" s="108"/>
      <c r="E926" s="108"/>
      <c r="F926" s="108"/>
      <c r="G926" s="108"/>
    </row>
    <row r="927" spans="1:7" ht="15.75">
      <c r="A927" s="108"/>
      <c r="B927" s="108"/>
      <c r="C927" s="108"/>
      <c r="D927" s="108"/>
      <c r="E927" s="108"/>
      <c r="F927" s="108"/>
      <c r="G927" s="108"/>
    </row>
    <row r="928" spans="1:7" ht="15.75">
      <c r="A928" s="108"/>
      <c r="B928" s="108"/>
      <c r="C928" s="108"/>
      <c r="D928" s="108"/>
      <c r="E928" s="108"/>
      <c r="F928" s="108"/>
      <c r="G928" s="108"/>
    </row>
    <row r="929" spans="1:7" ht="15.75">
      <c r="A929" s="108"/>
      <c r="B929" s="108"/>
      <c r="C929" s="108"/>
      <c r="D929" s="108"/>
      <c r="E929" s="108"/>
      <c r="F929" s="108"/>
      <c r="G929" s="108"/>
    </row>
    <row r="930" spans="1:7" ht="15.75">
      <c r="A930" s="108"/>
      <c r="B930" s="108"/>
      <c r="C930" s="108"/>
      <c r="D930" s="108"/>
      <c r="E930" s="108"/>
      <c r="F930" s="108"/>
      <c r="G930" s="108"/>
    </row>
    <row r="931" spans="1:7" ht="15.75">
      <c r="A931" s="108"/>
      <c r="B931" s="108"/>
      <c r="C931" s="108"/>
      <c r="D931" s="108"/>
      <c r="E931" s="108"/>
      <c r="F931" s="108"/>
      <c r="G931" s="108"/>
    </row>
    <row r="932" spans="1:7" ht="15.75">
      <c r="A932" s="108"/>
      <c r="B932" s="108"/>
      <c r="C932" s="108"/>
      <c r="D932" s="108"/>
      <c r="E932" s="108"/>
      <c r="F932" s="108"/>
      <c r="G932" s="108"/>
    </row>
    <row r="933" spans="1:7" ht="15.75">
      <c r="A933" s="108"/>
      <c r="B933" s="108"/>
      <c r="C933" s="108"/>
      <c r="D933" s="108"/>
      <c r="E933" s="108"/>
      <c r="F933" s="108"/>
      <c r="G933" s="108"/>
    </row>
    <row r="934" spans="1:7" ht="15.75">
      <c r="A934" s="108"/>
      <c r="B934" s="108"/>
      <c r="C934" s="108"/>
      <c r="D934" s="108"/>
      <c r="E934" s="108"/>
      <c r="F934" s="108"/>
      <c r="G934" s="108"/>
    </row>
    <row r="935" spans="1:7" ht="15.75">
      <c r="A935" s="108"/>
      <c r="B935" s="108"/>
      <c r="C935" s="108"/>
      <c r="D935" s="108"/>
      <c r="E935" s="108"/>
      <c r="F935" s="108"/>
      <c r="G935" s="108"/>
    </row>
    <row r="936" spans="1:7" ht="15.75">
      <c r="A936" s="108"/>
      <c r="B936" s="108"/>
      <c r="C936" s="108"/>
      <c r="D936" s="108"/>
      <c r="E936" s="108"/>
      <c r="F936" s="108"/>
      <c r="G936" s="108"/>
    </row>
    <row r="937" spans="1:7" ht="15.75">
      <c r="A937" s="108"/>
      <c r="B937" s="108"/>
      <c r="C937" s="108"/>
      <c r="D937" s="108"/>
      <c r="E937" s="108"/>
      <c r="F937" s="108"/>
      <c r="G937" s="108"/>
    </row>
    <row r="938" spans="1:7" ht="15.75">
      <c r="A938" s="108"/>
      <c r="B938" s="108"/>
      <c r="C938" s="108"/>
      <c r="D938" s="108"/>
      <c r="E938" s="108"/>
      <c r="F938" s="108"/>
      <c r="G938" s="108"/>
    </row>
    <row r="939" spans="1:7" ht="15.75">
      <c r="A939" s="108"/>
      <c r="B939" s="108"/>
      <c r="C939" s="108"/>
      <c r="D939" s="108"/>
      <c r="E939" s="108"/>
      <c r="F939" s="108"/>
      <c r="G939" s="108"/>
    </row>
    <row r="940" spans="1:7" ht="15.75">
      <c r="A940" s="108"/>
      <c r="B940" s="108"/>
      <c r="C940" s="108"/>
      <c r="D940" s="108"/>
      <c r="E940" s="108"/>
      <c r="F940" s="108"/>
      <c r="G940" s="108"/>
    </row>
    <row r="941" spans="1:7" ht="15.75">
      <c r="A941" s="108"/>
      <c r="B941" s="108"/>
      <c r="C941" s="108"/>
      <c r="D941" s="108"/>
      <c r="E941" s="108"/>
      <c r="F941" s="108"/>
      <c r="G941" s="108"/>
    </row>
    <row r="942" spans="1:7" ht="15.75">
      <c r="A942" s="108"/>
      <c r="B942" s="108"/>
      <c r="C942" s="108"/>
      <c r="D942" s="108"/>
      <c r="E942" s="108"/>
      <c r="F942" s="108"/>
      <c r="G942" s="108"/>
    </row>
    <row r="943" spans="1:7" ht="15.75">
      <c r="A943" s="108"/>
      <c r="B943" s="108"/>
      <c r="C943" s="108"/>
      <c r="D943" s="108"/>
      <c r="E943" s="108"/>
      <c r="F943" s="108"/>
      <c r="G943" s="108"/>
    </row>
    <row r="944" spans="1:7" ht="15.75">
      <c r="A944" s="108"/>
      <c r="B944" s="108"/>
      <c r="C944" s="108"/>
      <c r="D944" s="108"/>
      <c r="E944" s="108"/>
      <c r="F944" s="108"/>
      <c r="G944" s="108"/>
    </row>
    <row r="945" spans="1:7" ht="15.75">
      <c r="A945" s="108"/>
      <c r="B945" s="108"/>
      <c r="C945" s="108"/>
      <c r="D945" s="108"/>
      <c r="E945" s="108"/>
      <c r="F945" s="108"/>
      <c r="G945" s="108"/>
    </row>
    <row r="946" spans="1:7" ht="15.75">
      <c r="A946" s="108"/>
      <c r="B946" s="108"/>
      <c r="C946" s="108"/>
      <c r="D946" s="108"/>
      <c r="E946" s="108"/>
      <c r="F946" s="108"/>
      <c r="G946" s="108"/>
    </row>
    <row r="947" spans="1:7" ht="15.75">
      <c r="A947" s="108"/>
      <c r="B947" s="108"/>
      <c r="C947" s="108"/>
      <c r="D947" s="108"/>
      <c r="E947" s="108"/>
      <c r="F947" s="108"/>
      <c r="G947" s="108"/>
    </row>
    <row r="948" spans="1:7" ht="15.75">
      <c r="A948" s="108"/>
      <c r="B948" s="108"/>
      <c r="C948" s="108"/>
      <c r="D948" s="108"/>
      <c r="E948" s="108"/>
      <c r="F948" s="108"/>
      <c r="G948" s="108"/>
    </row>
    <row r="949" spans="1:7" ht="15.75">
      <c r="A949" s="108"/>
      <c r="B949" s="108"/>
      <c r="C949" s="108"/>
      <c r="D949" s="108"/>
      <c r="E949" s="108"/>
      <c r="F949" s="108"/>
      <c r="G949" s="108"/>
    </row>
    <row r="950" spans="1:7" ht="15.75">
      <c r="A950" s="108"/>
      <c r="B950" s="108"/>
      <c r="C950" s="108"/>
      <c r="D950" s="108"/>
      <c r="E950" s="108"/>
      <c r="F950" s="108"/>
      <c r="G950" s="108"/>
    </row>
    <row r="951" spans="1:7" ht="15.75">
      <c r="A951" s="108"/>
      <c r="B951" s="108"/>
      <c r="C951" s="108"/>
      <c r="D951" s="108"/>
      <c r="E951" s="108"/>
      <c r="F951" s="108"/>
      <c r="G951" s="108"/>
    </row>
    <row r="952" spans="1:7" ht="15.75">
      <c r="A952" s="108"/>
      <c r="B952" s="108"/>
      <c r="C952" s="108"/>
      <c r="D952" s="108"/>
      <c r="E952" s="108"/>
      <c r="F952" s="108"/>
      <c r="G952" s="108"/>
    </row>
    <row r="953" spans="1:7" ht="15.75">
      <c r="A953" s="108"/>
      <c r="B953" s="108"/>
      <c r="C953" s="108"/>
      <c r="D953" s="108"/>
      <c r="E953" s="108"/>
      <c r="F953" s="108"/>
      <c r="G953" s="108"/>
    </row>
    <row r="954" spans="1:7" ht="15.75">
      <c r="A954" s="108"/>
      <c r="B954" s="108"/>
      <c r="C954" s="108"/>
      <c r="D954" s="108"/>
      <c r="E954" s="108"/>
      <c r="F954" s="108"/>
      <c r="G954" s="108"/>
    </row>
    <row r="955" spans="1:7" ht="15.75">
      <c r="A955" s="108"/>
      <c r="B955" s="108"/>
      <c r="C955" s="108"/>
      <c r="D955" s="108"/>
      <c r="E955" s="108"/>
      <c r="F955" s="108"/>
      <c r="G955" s="108"/>
    </row>
    <row r="956" spans="1:7" ht="15.75">
      <c r="A956" s="108"/>
      <c r="B956" s="108"/>
      <c r="C956" s="108"/>
      <c r="D956" s="108"/>
      <c r="E956" s="108"/>
      <c r="F956" s="108"/>
      <c r="G956" s="108"/>
    </row>
    <row r="957" spans="1:7" ht="15.75">
      <c r="A957" s="108"/>
      <c r="B957" s="108"/>
      <c r="C957" s="108"/>
      <c r="D957" s="108"/>
      <c r="E957" s="108"/>
      <c r="F957" s="108"/>
      <c r="G957" s="108"/>
    </row>
    <row r="958" spans="1:7" ht="15.75">
      <c r="A958" s="108"/>
      <c r="B958" s="108"/>
      <c r="C958" s="108"/>
      <c r="D958" s="108"/>
      <c r="E958" s="108"/>
      <c r="F958" s="108"/>
      <c r="G958" s="108"/>
    </row>
    <row r="959" spans="1:7" ht="15.75">
      <c r="A959" s="108"/>
      <c r="B959" s="108"/>
      <c r="C959" s="108"/>
      <c r="D959" s="108"/>
      <c r="E959" s="108"/>
      <c r="F959" s="108"/>
      <c r="G959" s="108"/>
    </row>
    <row r="960" spans="1:7" ht="15.75">
      <c r="A960" s="108"/>
      <c r="B960" s="108"/>
      <c r="C960" s="108"/>
      <c r="D960" s="108"/>
      <c r="E960" s="108"/>
      <c r="F960" s="108"/>
      <c r="G960" s="108"/>
    </row>
    <row r="961" spans="1:7" ht="15.75">
      <c r="A961" s="108"/>
      <c r="B961" s="108"/>
      <c r="C961" s="108"/>
      <c r="D961" s="108"/>
      <c r="E961" s="108"/>
      <c r="F961" s="108"/>
      <c r="G961" s="108"/>
    </row>
    <row r="962" spans="1:7" ht="15.75">
      <c r="A962" s="108"/>
      <c r="B962" s="108"/>
      <c r="C962" s="108"/>
      <c r="D962" s="108"/>
      <c r="E962" s="108"/>
      <c r="F962" s="108"/>
      <c r="G962" s="108"/>
    </row>
    <row r="963" spans="1:7" ht="15.75">
      <c r="A963" s="108"/>
      <c r="B963" s="108"/>
      <c r="C963" s="108"/>
      <c r="D963" s="108"/>
      <c r="E963" s="108"/>
      <c r="F963" s="108"/>
      <c r="G963" s="108"/>
    </row>
  </sheetData>
  <mergeCells count="6">
    <mergeCell ref="B9:C9"/>
    <mergeCell ref="B11:C11"/>
    <mergeCell ref="B15:C15"/>
    <mergeCell ref="B21:C21"/>
    <mergeCell ref="B19:C19"/>
    <mergeCell ref="B17:C17"/>
  </mergeCells>
  <pageMargins left="0.7" right="0.7" top="0.75" bottom="0.75" header="0.3" footer="0.3"/>
  <pageSetup scale="65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BC75A-49DC-4DC4-98AD-492EDC3C450D}">
          <x14:formula1>
            <xm:f>'03_REF_DATOS'!$F$3:$F$4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5776-03BC-40A5-9467-538BCBF2CB45}">
  <sheetPr codeName="Hoja5">
    <tabColor theme="3" tint="9.9978637043366805E-2"/>
  </sheetPr>
  <dimension ref="A1:E26"/>
  <sheetViews>
    <sheetView view="pageBreakPreview" zoomScale="115" zoomScaleNormal="100" zoomScaleSheetLayoutView="115" workbookViewId="0">
      <selection activeCell="D8" sqref="D8"/>
    </sheetView>
  </sheetViews>
  <sheetFormatPr baseColWidth="10" defaultColWidth="11.42578125" defaultRowHeight="15"/>
  <cols>
    <col min="1" max="1" width="28.28515625" style="87" customWidth="1"/>
    <col min="2" max="2" width="21.5703125" style="87" customWidth="1"/>
    <col min="3" max="3" width="55.5703125" style="87" customWidth="1"/>
    <col min="4" max="4" width="23.5703125" style="87" customWidth="1"/>
    <col min="5" max="5" width="13.140625" style="87" bestFit="1" customWidth="1"/>
    <col min="6" max="16384" width="11.42578125" style="87"/>
  </cols>
  <sheetData>
    <row r="1" spans="1:4" s="72" customFormat="1" ht="16.5">
      <c r="A1" s="309" t="e" cm="1" vm="1">
        <f t="array" ref="A1">_xlfn.IFS(C3='03_REF_DATOS'!F3,'03_REF_DATOS'!A2,C3='03_REF_DATOS'!F4,'03_REF_DATOS'!A9)</f>
        <v>#VALUE!</v>
      </c>
      <c r="B1" s="69" t="str" cm="1">
        <f t="array" ref="B1">_xlfn.IFS(C3='03_REF_DATOS'!F3,'03_REF_DATOS'!D1,C3='03_REF_DATOS'!F4,'03_REF_DATOS'!D9)</f>
        <v>Ingenieria y Construcciones Dyven, S.A. de C.V.</v>
      </c>
      <c r="C1" s="70"/>
      <c r="D1" s="71"/>
    </row>
    <row r="2" spans="1:4" s="72" customFormat="1">
      <c r="A2" s="309"/>
      <c r="B2" s="73"/>
      <c r="C2" s="71"/>
      <c r="D2" s="74"/>
    </row>
    <row r="3" spans="1:4" s="72" customFormat="1" ht="15.75">
      <c r="A3" s="309"/>
      <c r="B3" s="75" t="s">
        <v>69</v>
      </c>
      <c r="C3" s="76" t="str">
        <f>'01_DATOS_GENERALES'!D19</f>
        <v>CSD160518RY1</v>
      </c>
      <c r="D3" s="77" t="s">
        <v>71</v>
      </c>
    </row>
    <row r="4" spans="1:4" s="72" customFormat="1" ht="15" customHeight="1">
      <c r="A4" s="309"/>
      <c r="B4" s="75" t="s">
        <v>72</v>
      </c>
      <c r="C4" s="310" t="str" cm="1">
        <f t="array" ref="C4">_xlfn.IFS(C3='03_REF_DATOS'!F3,'03_REF_DATOS'!D3,C3='03_REF_DATOS'!F4,'03_REF_DATOS'!D11)</f>
        <v>Sierra Gorda No. 75, Lomas de Chapultepec VII Sección, C.P. 11000, Alcaldía Miguel Hidalgo, Ciudad de México, México</v>
      </c>
      <c r="D4" s="79" t="s">
        <v>73</v>
      </c>
    </row>
    <row r="5" spans="1:4" s="72" customFormat="1" ht="15.75">
      <c r="A5" s="309"/>
      <c r="B5" s="80"/>
      <c r="C5" s="310"/>
      <c r="D5" s="255">
        <f>'01_DATOS_GENERALES'!D13</f>
        <v>0</v>
      </c>
    </row>
    <row r="6" spans="1:4" s="72" customFormat="1" ht="15.75">
      <c r="A6" s="76"/>
      <c r="B6" s="75" t="s">
        <v>74</v>
      </c>
      <c r="C6" s="81" t="str" cm="1">
        <f t="array" ref="C6">_xlfn.IFS(C3='03_REF_DATOS'!F3,'03_REF_DATOS'!D5,C3='03_REF_DATOS'!F4,'03_REF_DATOS'!D13)</f>
        <v>(55) 8003 3355; (55) 7923 0403</v>
      </c>
      <c r="D6" s="77">
        <v>45756</v>
      </c>
    </row>
    <row r="7" spans="1:4" s="72" customFormat="1" ht="15.75">
      <c r="A7" s="76"/>
      <c r="B7" s="75" t="s">
        <v>75</v>
      </c>
      <c r="C7" s="82" t="str" cm="1">
        <f t="array" ref="C7">_xlfn.IFS(C3='03_REF_DATOS'!F3,'03_REF_DATOS'!D6,C3='03_REF_DATOS'!F4,'03_REF_DATOS'!D14)</f>
        <v>contacto@dyven.com.mx</v>
      </c>
      <c r="D7" s="76"/>
    </row>
    <row r="8" spans="1:4" s="72" customFormat="1" ht="15.75">
      <c r="A8" s="76"/>
      <c r="B8" s="76"/>
      <c r="C8" s="76"/>
      <c r="D8" s="76"/>
    </row>
    <row r="9" spans="1:4" s="72" customFormat="1" ht="21.6" customHeight="1">
      <c r="A9" s="83" t="s">
        <v>76</v>
      </c>
      <c r="B9" s="311">
        <f>'01_DATOS_GENERALES'!D15</f>
        <v>0</v>
      </c>
      <c r="C9" s="311"/>
      <c r="D9" s="308"/>
    </row>
    <row r="10" spans="1:4" s="72" customFormat="1" ht="5.0999999999999996" customHeight="1">
      <c r="A10" s="83"/>
      <c r="B10" s="84"/>
      <c r="C10" s="84"/>
      <c r="D10" s="308"/>
    </row>
    <row r="11" spans="1:4" s="72" customFormat="1" ht="21.6" customHeight="1">
      <c r="A11" s="83" t="s">
        <v>77</v>
      </c>
      <c r="B11" s="308">
        <f>'01_DATOS_GENERALES'!D9</f>
        <v>0</v>
      </c>
      <c r="C11" s="308"/>
      <c r="D11" s="308"/>
    </row>
    <row r="12" spans="1:4" ht="5.0999999999999996" customHeight="1">
      <c r="A12" s="85"/>
      <c r="B12" s="86"/>
      <c r="C12" s="86"/>
      <c r="D12" s="86"/>
    </row>
    <row r="13" spans="1:4" ht="15.75">
      <c r="A13" s="83" t="s">
        <v>78</v>
      </c>
      <c r="B13" s="308">
        <f>'01_DATOS_GENERALES'!D17</f>
        <v>0</v>
      </c>
      <c r="C13" s="308"/>
      <c r="D13" s="86"/>
    </row>
    <row r="14" spans="1:4" ht="5.0999999999999996" customHeight="1">
      <c r="A14" s="86"/>
      <c r="B14" s="86"/>
      <c r="C14" s="86"/>
      <c r="D14" s="86"/>
    </row>
    <row r="15" spans="1:4">
      <c r="A15" s="303"/>
      <c r="B15" s="303"/>
      <c r="C15" s="303"/>
      <c r="D15" s="303"/>
    </row>
    <row r="16" spans="1:4">
      <c r="A16" s="303"/>
      <c r="B16" s="303"/>
      <c r="C16" s="303"/>
      <c r="D16" s="303"/>
    </row>
    <row r="17" spans="1:5" ht="5.0999999999999996" customHeight="1">
      <c r="A17" s="86"/>
      <c r="B17" s="86"/>
      <c r="C17" s="86"/>
      <c r="D17" s="86"/>
    </row>
    <row r="18" spans="1:5" ht="15.75">
      <c r="A18" s="304" t="s">
        <v>79</v>
      </c>
      <c r="B18" s="304"/>
      <c r="C18" s="304"/>
      <c r="D18" s="304"/>
      <c r="E18" s="88"/>
    </row>
    <row r="19" spans="1:5" ht="15.75">
      <c r="A19" s="86"/>
      <c r="B19" s="86"/>
      <c r="C19" s="86"/>
      <c r="D19" s="86"/>
    </row>
    <row r="20" spans="1:5" ht="15.75">
      <c r="A20" s="89" t="s">
        <v>80</v>
      </c>
      <c r="B20" s="305" t="s">
        <v>81</v>
      </c>
      <c r="C20" s="305"/>
      <c r="D20" s="90" t="s">
        <v>62</v>
      </c>
      <c r="E20" s="89" t="s">
        <v>82</v>
      </c>
    </row>
    <row r="21" spans="1:5" ht="15.75">
      <c r="A21" s="91">
        <v>1</v>
      </c>
      <c r="B21" s="306" t="s">
        <v>349</v>
      </c>
      <c r="C21" s="306"/>
      <c r="D21" s="92"/>
      <c r="E21" s="93"/>
    </row>
    <row r="22" spans="1:5" ht="5.0999999999999996" customHeight="1">
      <c r="A22" s="94"/>
      <c r="B22" s="95"/>
      <c r="C22" s="95"/>
      <c r="D22" s="96"/>
    </row>
    <row r="23" spans="1:5" ht="15.75">
      <c r="A23" s="97">
        <v>1.1000000000000001</v>
      </c>
      <c r="B23" s="307" t="str">
        <f>B_PRESUPUESTO!C19</f>
        <v>Alimentaciones Exteriores</v>
      </c>
      <c r="C23" s="307"/>
      <c r="D23" s="98">
        <f>B_PRESUPUESTO!G31</f>
        <v>9036322.1249106433</v>
      </c>
      <c r="E23" s="99">
        <f>D23/B_PRESUPUESTO!G27</f>
        <v>1</v>
      </c>
    </row>
    <row r="25" spans="1:5" ht="15.75">
      <c r="C25" s="100" t="s">
        <v>84</v>
      </c>
      <c r="D25" s="101">
        <f>D23</f>
        <v>9036322.1249106433</v>
      </c>
      <c r="E25" s="102">
        <f>D23/$D$25</f>
        <v>1</v>
      </c>
    </row>
    <row r="26" spans="1:5" ht="15.75">
      <c r="D26" s="103"/>
      <c r="E26" s="104" t="str" cm="1">
        <f t="array" ref="E26">[3]!NumLetras(D25,"con","M.N. = = = MÁS EL I.V.A. CORRESPONDIENTE")</f>
        <v xml:space="preserve"> NUEVE MILLONES TREINTA Y SEIS MIL TRESCIENTOS VEINTIDOS 12/100 M.N. = = = MÁS EL I.V.A. CORRESPONDIENTE</v>
      </c>
    </row>
  </sheetData>
  <mergeCells count="11">
    <mergeCell ref="B13:C13"/>
    <mergeCell ref="A1:A5"/>
    <mergeCell ref="C4:C5"/>
    <mergeCell ref="B9:C9"/>
    <mergeCell ref="D9:D11"/>
    <mergeCell ref="B11:C11"/>
    <mergeCell ref="A15:D16"/>
    <mergeCell ref="A18:D18"/>
    <mergeCell ref="B20:C20"/>
    <mergeCell ref="B21:C21"/>
    <mergeCell ref="B23:C23"/>
  </mergeCells>
  <hyperlinks>
    <hyperlink ref="C7" r:id="rId1" display="contacto@dyven.com.mx" xr:uid="{EA75FBC9-308E-410E-A403-9E81A5E1058D}"/>
  </hyperlinks>
  <pageMargins left="0.7" right="0.7" top="0.75" bottom="0.75" header="0.3" footer="0.3"/>
  <pageSetup paperSize="9" scale="61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63021-4FD9-4DF4-AFE7-6837B23A3077}">
  <sheetPr codeName="Hoja6">
    <tabColor theme="1" tint="0.249977111117893"/>
    <pageSetUpPr fitToPage="1"/>
  </sheetPr>
  <dimension ref="A1:SRC71"/>
  <sheetViews>
    <sheetView view="pageBreakPreview" zoomScale="70" zoomScaleNormal="100" zoomScaleSheetLayoutView="70" zoomScalePageLayoutView="94" workbookViewId="0">
      <selection activeCell="C6" sqref="C6"/>
    </sheetView>
  </sheetViews>
  <sheetFormatPr baseColWidth="10" defaultColWidth="11.42578125" defaultRowHeight="15.75"/>
  <cols>
    <col min="1" max="1" width="23.28515625" style="86" customWidth="1"/>
    <col min="2" max="2" width="16.7109375" style="86" customWidth="1"/>
    <col min="3" max="3" width="70.5703125" style="153" customWidth="1"/>
    <col min="4" max="4" width="12.85546875" style="86" customWidth="1"/>
    <col min="5" max="5" width="12.7109375" style="86" bestFit="1" customWidth="1"/>
    <col min="6" max="6" width="16.42578125" style="87" customWidth="1"/>
    <col min="7" max="7" width="19.140625" style="87" bestFit="1" customWidth="1"/>
    <col min="8" max="8" width="11.5703125" style="87" bestFit="1" customWidth="1"/>
    <col min="9" max="9" width="11.42578125" style="87"/>
    <col min="10" max="10" width="15.5703125" style="87" bestFit="1" customWidth="1"/>
    <col min="11" max="11" width="11.42578125" style="87"/>
    <col min="12" max="12" width="15.7109375" style="87" bestFit="1" customWidth="1"/>
    <col min="13" max="16384" width="11.42578125" style="87"/>
  </cols>
  <sheetData>
    <row r="1" spans="1:9 13315:13315" s="72" customFormat="1" ht="18">
      <c r="A1" s="76"/>
      <c r="B1" s="105"/>
      <c r="C1" s="76"/>
      <c r="D1" s="76"/>
      <c r="E1" s="76"/>
      <c r="SRC1" s="106"/>
    </row>
    <row r="2" spans="1:9 13315:13315" s="72" customFormat="1">
      <c r="A2" s="320" t="e" vm="1">
        <f>A_RESUMEN!A1</f>
        <v>#VALUE!</v>
      </c>
      <c r="B2" s="76"/>
      <c r="C2" s="76"/>
      <c r="D2" s="76"/>
      <c r="E2" s="76"/>
    </row>
    <row r="3" spans="1:9 13315:13315" s="72" customFormat="1">
      <c r="A3" s="320"/>
      <c r="B3" s="107" t="s">
        <v>85</v>
      </c>
      <c r="C3" s="108" t="str">
        <f>A_RESUMEN!C3</f>
        <v>CSD160518RY1</v>
      </c>
      <c r="D3" s="76"/>
      <c r="E3" s="109" t="s">
        <v>86</v>
      </c>
      <c r="G3" s="321" t="s">
        <v>71</v>
      </c>
      <c r="H3" s="321"/>
    </row>
    <row r="4" spans="1:9 13315:13315" s="72" customFormat="1" ht="14.45" customHeight="1">
      <c r="A4" s="320"/>
      <c r="B4" s="107" t="s">
        <v>72</v>
      </c>
      <c r="C4" s="312" t="str">
        <f>A_RESUMEN!C4</f>
        <v>Sierra Gorda No. 75, Lomas de Chapultepec VII Sección, C.P. 11000, Alcaldía Miguel Hidalgo, Ciudad de México, México</v>
      </c>
      <c r="D4" s="81"/>
      <c r="E4" s="109" t="s">
        <v>87</v>
      </c>
      <c r="G4" s="322">
        <f>'01_DATOS_GENERALES'!D11</f>
        <v>0</v>
      </c>
      <c r="H4" s="322"/>
    </row>
    <row r="5" spans="1:9 13315:13315" s="72" customFormat="1">
      <c r="A5" s="320"/>
      <c r="B5" s="108"/>
      <c r="C5" s="312"/>
      <c r="D5" s="81"/>
      <c r="E5" s="109" t="s">
        <v>88</v>
      </c>
      <c r="G5" s="321">
        <f>A_RESUMEN!D5</f>
        <v>0</v>
      </c>
      <c r="H5" s="321"/>
    </row>
    <row r="6" spans="1:9 13315:13315" s="72" customFormat="1">
      <c r="A6" s="320"/>
      <c r="B6" s="107" t="s">
        <v>74</v>
      </c>
      <c r="C6" s="111" t="str">
        <f>A_RESUMEN!C6</f>
        <v>(55) 8003 3355; (55) 7923 0403</v>
      </c>
      <c r="D6" s="76"/>
      <c r="E6" s="109" t="s">
        <v>89</v>
      </c>
      <c r="G6" s="323">
        <f>A_RESUMEN!D6</f>
        <v>45756</v>
      </c>
      <c r="H6" s="323"/>
    </row>
    <row r="7" spans="1:9 13315:13315" s="72" customFormat="1">
      <c r="A7" s="76"/>
      <c r="B7" s="107" t="s">
        <v>75</v>
      </c>
      <c r="C7" s="111" t="str">
        <f>A_RESUMEN!C7</f>
        <v>contacto@dyven.com.mx</v>
      </c>
      <c r="D7" s="76"/>
      <c r="E7" s="76"/>
    </row>
    <row r="8" spans="1:9 13315:13315" s="72" customFormat="1">
      <c r="A8" s="76"/>
      <c r="B8" s="76"/>
      <c r="C8" s="76"/>
      <c r="D8" s="76"/>
      <c r="E8" s="76"/>
    </row>
    <row r="9" spans="1:9 13315:13315" s="72" customFormat="1" ht="5.0999999999999996" customHeight="1">
      <c r="A9" s="83"/>
      <c r="B9" s="84"/>
      <c r="C9" s="84"/>
      <c r="D9" s="76"/>
      <c r="E9" s="112"/>
      <c r="I9" s="113"/>
    </row>
    <row r="10" spans="1:9 13315:13315" s="72" customFormat="1" ht="24" customHeight="1">
      <c r="A10" s="114" t="s">
        <v>77</v>
      </c>
      <c r="B10" s="314">
        <f>A_RESUMEN!B11</f>
        <v>0</v>
      </c>
      <c r="C10" s="314"/>
      <c r="D10" s="76"/>
      <c r="E10" s="114" t="s">
        <v>78</v>
      </c>
      <c r="F10" s="315">
        <f>A_RESUMEN!B13</f>
        <v>0</v>
      </c>
      <c r="G10" s="315"/>
      <c r="H10" s="315"/>
    </row>
    <row r="11" spans="1:9 13315:13315" s="72" customFormat="1" ht="5.0999999999999996" customHeight="1">
      <c r="A11" s="76"/>
      <c r="B11" s="76"/>
      <c r="C11" s="81"/>
      <c r="D11" s="76"/>
      <c r="E11" s="76"/>
    </row>
    <row r="12" spans="1:9 13315:13315" s="72" customFormat="1" ht="34.5" customHeight="1">
      <c r="A12" s="114" t="s">
        <v>76</v>
      </c>
      <c r="B12" s="314">
        <f>A_RESUMEN!B9</f>
        <v>0</v>
      </c>
      <c r="C12" s="314"/>
      <c r="D12" s="76"/>
      <c r="E12" s="114" t="s">
        <v>90</v>
      </c>
      <c r="F12" s="315">
        <f>'01_DATOS_GENERALES'!G9</f>
        <v>0</v>
      </c>
      <c r="G12" s="315"/>
      <c r="H12" s="315"/>
    </row>
    <row r="13" spans="1:9 13315:13315" s="72" customFormat="1">
      <c r="A13" s="76"/>
      <c r="B13" s="76"/>
      <c r="C13" s="81"/>
      <c r="D13" s="76"/>
      <c r="E13" s="76"/>
    </row>
    <row r="14" spans="1:9 13315:13315" s="72" customFormat="1" ht="35.25" customHeight="1">
      <c r="A14" s="316" t="s">
        <v>350</v>
      </c>
      <c r="B14" s="316"/>
      <c r="C14" s="316"/>
      <c r="D14" s="316"/>
      <c r="E14" s="316"/>
      <c r="F14" s="316"/>
      <c r="G14" s="316"/>
      <c r="H14" s="316"/>
    </row>
    <row r="15" spans="1:9 13315:13315" s="72" customFormat="1">
      <c r="A15" s="76"/>
      <c r="B15" s="76"/>
      <c r="C15" s="81"/>
      <c r="D15" s="76"/>
      <c r="E15" s="76"/>
    </row>
    <row r="16" spans="1:9 13315:13315" s="72" customFormat="1" ht="18" customHeight="1">
      <c r="A16" s="317" t="s">
        <v>91</v>
      </c>
      <c r="B16" s="317"/>
      <c r="C16" s="317"/>
      <c r="D16" s="317"/>
      <c r="E16" s="317"/>
      <c r="F16" s="317"/>
      <c r="G16" s="317"/>
      <c r="H16" s="317"/>
    </row>
    <row r="17" spans="1:12" s="117" customFormat="1">
      <c r="A17" s="115" t="s">
        <v>80</v>
      </c>
      <c r="B17" s="115" t="s">
        <v>56</v>
      </c>
      <c r="C17" s="116" t="s">
        <v>81</v>
      </c>
      <c r="D17" s="115" t="s">
        <v>58</v>
      </c>
      <c r="E17" s="115" t="s">
        <v>60</v>
      </c>
      <c r="F17" s="115" t="s">
        <v>92</v>
      </c>
      <c r="G17" s="115" t="s">
        <v>62</v>
      </c>
      <c r="H17" s="115" t="s">
        <v>82</v>
      </c>
      <c r="J17" s="249">
        <f>C_SOBRECOSTO!V215</f>
        <v>1.2704289763213854</v>
      </c>
      <c r="L17" s="250">
        <f>SUBTOTAL(9,L21:$L$102)</f>
        <v>7112811.7300000004</v>
      </c>
    </row>
    <row r="18" spans="1:12" s="117" customFormat="1">
      <c r="A18" s="118">
        <v>1</v>
      </c>
      <c r="B18" s="119"/>
      <c r="C18" s="119" t="s">
        <v>83</v>
      </c>
      <c r="D18" s="120"/>
      <c r="E18" s="121"/>
      <c r="F18" s="121"/>
      <c r="G18" s="121"/>
      <c r="H18" s="122"/>
    </row>
    <row r="19" spans="1:12" s="117" customFormat="1">
      <c r="A19" s="123">
        <v>1.1000000000000001</v>
      </c>
      <c r="B19" s="124"/>
      <c r="C19" s="124" t="s">
        <v>93</v>
      </c>
      <c r="D19" s="125"/>
      <c r="E19" s="126"/>
      <c r="F19" s="126"/>
      <c r="G19" s="126"/>
      <c r="H19" s="127"/>
    </row>
    <row r="20" spans="1:12" s="117" customFormat="1">
      <c r="A20" s="128" t="s">
        <v>94</v>
      </c>
      <c r="B20" s="129"/>
      <c r="C20" s="129" t="s">
        <v>95</v>
      </c>
      <c r="D20" s="130"/>
      <c r="E20" s="131"/>
      <c r="F20" s="131"/>
      <c r="G20" s="131"/>
      <c r="H20" s="132"/>
    </row>
    <row r="21" spans="1:12" s="117" customFormat="1" ht="137.25">
      <c r="A21" s="133" t="s">
        <v>96</v>
      </c>
      <c r="B21" s="134" t="s">
        <v>97</v>
      </c>
      <c r="C21" s="299" t="s">
        <v>658</v>
      </c>
      <c r="D21" s="135"/>
      <c r="E21" s="136">
        <v>1</v>
      </c>
      <c r="F21" s="137">
        <f>J21*$J$17</f>
        <v>9036322.1249106433</v>
      </c>
      <c r="G21" s="138">
        <f>F21*E21</f>
        <v>9036322.1249106433</v>
      </c>
      <c r="H21" s="139">
        <f>G21/$G$31</f>
        <v>1</v>
      </c>
      <c r="J21" s="140">
        <v>7112811.7300000004</v>
      </c>
      <c r="L21" s="140">
        <f>E21*J21</f>
        <v>7112811.7300000004</v>
      </c>
    </row>
    <row r="22" spans="1:12" s="117" customFormat="1" ht="138">
      <c r="A22" s="133"/>
      <c r="B22" s="134"/>
      <c r="C22" s="299" t="s">
        <v>659</v>
      </c>
      <c r="D22" s="135"/>
      <c r="E22" s="136"/>
      <c r="F22" s="137"/>
      <c r="G22" s="138"/>
      <c r="H22" s="139"/>
      <c r="J22" s="142"/>
      <c r="L22" s="142"/>
    </row>
    <row r="23" spans="1:12" s="117" customFormat="1" ht="138">
      <c r="A23" s="133"/>
      <c r="B23" s="134"/>
      <c r="C23" s="299" t="s">
        <v>660</v>
      </c>
      <c r="D23" s="135"/>
      <c r="E23" s="136"/>
      <c r="F23" s="137"/>
      <c r="G23" s="138"/>
      <c r="H23" s="139"/>
      <c r="J23" s="142"/>
      <c r="L23" s="142"/>
    </row>
    <row r="24" spans="1:12" s="117" customFormat="1" ht="138">
      <c r="A24" s="133"/>
      <c r="B24" s="134"/>
      <c r="C24" s="299" t="s">
        <v>661</v>
      </c>
      <c r="D24" s="135"/>
      <c r="E24" s="136"/>
      <c r="F24" s="137"/>
      <c r="G24" s="138"/>
      <c r="H24" s="139"/>
      <c r="J24" s="142"/>
      <c r="L24" s="142"/>
    </row>
    <row r="25" spans="1:12" s="117" customFormat="1" ht="61.5">
      <c r="A25" s="133"/>
      <c r="B25" s="134"/>
      <c r="C25" s="300" t="s">
        <v>662</v>
      </c>
      <c r="D25" s="135"/>
      <c r="E25" s="136"/>
      <c r="F25" s="137"/>
      <c r="G25" s="138"/>
      <c r="H25" s="139"/>
      <c r="J25" s="142"/>
      <c r="L25" s="142"/>
    </row>
    <row r="26" spans="1:12" s="117" customFormat="1" ht="62.25">
      <c r="A26" s="141"/>
      <c r="B26" s="134"/>
      <c r="C26" s="300" t="s">
        <v>663</v>
      </c>
      <c r="D26" s="135"/>
      <c r="E26" s="136"/>
      <c r="F26" s="137"/>
      <c r="G26" s="138"/>
      <c r="H26" s="139"/>
      <c r="J26" s="142"/>
    </row>
    <row r="27" spans="1:12">
      <c r="A27" s="143" t="str">
        <f>A20</f>
        <v>1.1.1</v>
      </c>
      <c r="B27" s="144" t="s">
        <v>98</v>
      </c>
      <c r="C27" s="145" t="str">
        <f>C20</f>
        <v>Tableros</v>
      </c>
      <c r="D27" s="146"/>
      <c r="E27" s="147"/>
      <c r="F27" s="148"/>
      <c r="G27" s="148">
        <f>SUM(G21:G21)</f>
        <v>9036322.1249106433</v>
      </c>
      <c r="H27" s="149">
        <f>G27/$G$31</f>
        <v>1</v>
      </c>
      <c r="J27" s="150"/>
    </row>
    <row r="28" spans="1:12">
      <c r="A28" s="143"/>
      <c r="B28" s="144"/>
      <c r="C28" s="145"/>
      <c r="D28" s="146"/>
      <c r="E28" s="147"/>
      <c r="F28" s="151"/>
      <c r="G28" s="151"/>
      <c r="H28" s="152"/>
      <c r="J28" s="150"/>
    </row>
    <row r="31" spans="1:12">
      <c r="A31" s="143">
        <f>A18</f>
        <v>1</v>
      </c>
      <c r="B31" s="144" t="s">
        <v>98</v>
      </c>
      <c r="C31" s="145" t="str">
        <f>C18</f>
        <v>ESTACIONAMIENTO</v>
      </c>
      <c r="D31" s="146"/>
      <c r="E31" s="147"/>
      <c r="F31" s="148"/>
      <c r="G31" s="148">
        <f>SUM(G27)</f>
        <v>9036322.1249106433</v>
      </c>
      <c r="H31" s="149">
        <f>G31/$G$31</f>
        <v>1</v>
      </c>
      <c r="J31" s="150"/>
    </row>
    <row r="32" spans="1:12">
      <c r="H32" s="154" t="str" cm="1">
        <f t="array" ref="H32">[3]!NumLetras(G31,"con","M.N. = = = MÁS EL I.V.A. CORRESPONDIENTE")</f>
        <v xml:space="preserve"> NUEVE MILLONES TREINTA Y SEIS MIL TRESCIENTOS VEINTIDOS 12/100 M.N. = = = MÁS EL I.V.A. CORRESPONDIENTE</v>
      </c>
    </row>
    <row r="33" spans="1:8">
      <c r="G33" s="145"/>
    </row>
    <row r="34" spans="1:8">
      <c r="A34" s="318" t="s">
        <v>99</v>
      </c>
      <c r="B34" s="318"/>
      <c r="C34" s="318"/>
      <c r="D34" s="318"/>
      <c r="E34" s="318"/>
      <c r="F34" s="318"/>
      <c r="G34" s="318"/>
      <c r="H34" s="318"/>
    </row>
    <row r="35" spans="1:8">
      <c r="A35" s="318" t="s">
        <v>100</v>
      </c>
      <c r="B35" s="318"/>
      <c r="C35" s="318"/>
      <c r="D35" s="318"/>
      <c r="E35" s="318"/>
      <c r="F35" s="318"/>
      <c r="G35" s="318"/>
      <c r="H35" s="318"/>
    </row>
    <row r="36" spans="1:8">
      <c r="A36" s="155"/>
      <c r="B36" s="155"/>
      <c r="C36" s="155"/>
      <c r="D36" s="155"/>
      <c r="E36" s="155"/>
      <c r="F36" s="155"/>
      <c r="G36" s="155"/>
    </row>
    <row r="37" spans="1:8">
      <c r="A37" s="155"/>
      <c r="B37" s="155"/>
      <c r="C37" s="298"/>
      <c r="D37" s="155"/>
      <c r="E37" s="155"/>
      <c r="F37" s="155"/>
      <c r="G37" s="155"/>
    </row>
    <row r="38" spans="1:8">
      <c r="A38" s="155"/>
      <c r="B38" s="155"/>
      <c r="C38" s="298"/>
      <c r="D38" s="155"/>
      <c r="E38" s="155"/>
      <c r="F38" s="155"/>
      <c r="G38" s="155"/>
    </row>
    <row r="39" spans="1:8">
      <c r="A39" s="155"/>
      <c r="B39" s="155"/>
      <c r="C39" s="298"/>
      <c r="D39" s="155"/>
      <c r="E39" s="155"/>
      <c r="F39" s="155"/>
      <c r="G39" s="155"/>
    </row>
    <row r="40" spans="1:8">
      <c r="A40" s="155"/>
      <c r="B40" s="155"/>
      <c r="C40" s="298"/>
      <c r="D40" s="155"/>
      <c r="E40" s="155"/>
      <c r="F40" s="155"/>
      <c r="G40" s="155"/>
    </row>
    <row r="41" spans="1:8">
      <c r="C41" s="86"/>
      <c r="F41" s="86"/>
      <c r="G41" s="86"/>
    </row>
    <row r="42" spans="1:8">
      <c r="C42" s="86"/>
      <c r="G42" s="156"/>
    </row>
    <row r="43" spans="1:8">
      <c r="C43" s="86"/>
      <c r="F43" s="86"/>
    </row>
    <row r="44" spans="1:8">
      <c r="C44" s="86"/>
      <c r="F44" s="86"/>
      <c r="G44" s="156"/>
    </row>
    <row r="45" spans="1:8" ht="15.75" customHeight="1">
      <c r="F45" s="86"/>
      <c r="H45" s="86"/>
    </row>
    <row r="46" spans="1:8">
      <c r="F46" s="86"/>
      <c r="G46" s="86"/>
    </row>
    <row r="47" spans="1:8">
      <c r="G47" s="145"/>
    </row>
    <row r="48" spans="1:8">
      <c r="A48" s="313" t="s">
        <v>101</v>
      </c>
      <c r="B48" s="313"/>
      <c r="C48" s="313"/>
      <c r="D48" s="313"/>
      <c r="E48" s="313"/>
      <c r="F48" s="313"/>
      <c r="G48" s="313"/>
      <c r="H48" s="313"/>
    </row>
    <row r="49" spans="1:8" ht="6.95" customHeight="1">
      <c r="C49" s="86"/>
      <c r="F49" s="86"/>
      <c r="G49" s="86"/>
    </row>
    <row r="50" spans="1:8">
      <c r="A50" s="157" t="s">
        <v>102</v>
      </c>
      <c r="B50" s="319" t="s">
        <v>103</v>
      </c>
      <c r="C50" s="319"/>
      <c r="D50" s="319"/>
      <c r="E50" s="319"/>
      <c r="F50" s="319"/>
      <c r="G50" s="319"/>
    </row>
    <row r="51" spans="1:8" ht="6.95" customHeight="1">
      <c r="A51" s="157"/>
      <c r="B51" s="158"/>
      <c r="C51" s="158"/>
      <c r="D51" s="158"/>
      <c r="E51" s="158"/>
      <c r="F51" s="158"/>
      <c r="G51" s="158"/>
    </row>
    <row r="52" spans="1:8">
      <c r="A52" s="157" t="s">
        <v>104</v>
      </c>
      <c r="B52" s="319" t="s">
        <v>105</v>
      </c>
      <c r="C52" s="319"/>
      <c r="D52" s="319"/>
      <c r="E52" s="319"/>
      <c r="F52" s="319"/>
      <c r="G52" s="319"/>
    </row>
    <row r="53" spans="1:8" ht="6.95" customHeight="1">
      <c r="A53" s="157"/>
      <c r="B53" s="159"/>
      <c r="C53" s="159"/>
      <c r="D53" s="159"/>
      <c r="E53" s="159"/>
      <c r="F53" s="159"/>
      <c r="G53" s="159"/>
    </row>
    <row r="54" spans="1:8">
      <c r="A54" s="313" t="s">
        <v>106</v>
      </c>
      <c r="B54" s="313"/>
      <c r="C54" s="313"/>
      <c r="D54" s="313"/>
      <c r="E54" s="313"/>
      <c r="F54" s="313"/>
      <c r="G54" s="313"/>
      <c r="H54" s="313"/>
    </row>
    <row r="55" spans="1:8" ht="6.95" customHeight="1">
      <c r="A55" s="160"/>
      <c r="B55" s="160"/>
      <c r="C55" s="160"/>
      <c r="D55" s="160"/>
      <c r="E55" s="160"/>
      <c r="F55" s="160"/>
      <c r="G55" s="160"/>
    </row>
    <row r="56" spans="1:8">
      <c r="A56" s="161" t="s">
        <v>107</v>
      </c>
      <c r="B56" s="162" t="s">
        <v>108</v>
      </c>
      <c r="C56" s="163"/>
      <c r="D56" s="163"/>
      <c r="E56" s="163"/>
      <c r="F56" s="163"/>
      <c r="G56" s="163"/>
    </row>
    <row r="57" spans="1:8">
      <c r="A57" s="164"/>
      <c r="B57" s="312" t="s">
        <v>109</v>
      </c>
      <c r="C57" s="312"/>
      <c r="D57" s="312"/>
      <c r="E57" s="312"/>
      <c r="F57" s="312"/>
      <c r="G57" s="312"/>
    </row>
    <row r="58" spans="1:8">
      <c r="A58" s="161" t="s">
        <v>110</v>
      </c>
      <c r="B58" s="162" t="s">
        <v>111</v>
      </c>
      <c r="C58" s="163"/>
      <c r="D58" s="163"/>
      <c r="E58" s="163"/>
      <c r="F58" s="163"/>
      <c r="G58" s="163"/>
    </row>
    <row r="59" spans="1:8">
      <c r="A59" s="164"/>
      <c r="B59" s="312" t="s">
        <v>112</v>
      </c>
      <c r="C59" s="312"/>
      <c r="D59" s="312"/>
      <c r="E59" s="312"/>
      <c r="F59" s="312"/>
      <c r="G59" s="312"/>
    </row>
    <row r="60" spans="1:8">
      <c r="A60" s="161" t="s">
        <v>113</v>
      </c>
      <c r="B60" s="162" t="s">
        <v>114</v>
      </c>
      <c r="C60" s="163"/>
      <c r="D60" s="163"/>
      <c r="E60" s="163"/>
      <c r="F60" s="163"/>
      <c r="G60" s="163"/>
    </row>
    <row r="61" spans="1:8">
      <c r="A61" s="164"/>
      <c r="B61" s="312" t="s">
        <v>115</v>
      </c>
      <c r="C61" s="312"/>
      <c r="D61" s="312"/>
      <c r="E61" s="312"/>
      <c r="F61" s="312"/>
      <c r="G61" s="312"/>
    </row>
    <row r="62" spans="1:8" ht="6.95" customHeight="1">
      <c r="A62" s="164"/>
      <c r="B62" s="78"/>
      <c r="C62" s="78"/>
      <c r="D62" s="78"/>
      <c r="E62" s="78"/>
      <c r="F62" s="78"/>
      <c r="G62" s="78"/>
    </row>
    <row r="63" spans="1:8">
      <c r="A63" s="164"/>
      <c r="B63" s="165">
        <v>0.7</v>
      </c>
      <c r="C63" s="312" t="s">
        <v>116</v>
      </c>
      <c r="D63" s="312"/>
      <c r="E63" s="312"/>
      <c r="F63" s="312"/>
      <c r="G63" s="312"/>
    </row>
    <row r="64" spans="1:8" ht="6" customHeight="1">
      <c r="A64" s="164"/>
      <c r="B64" s="166"/>
      <c r="C64" s="111"/>
      <c r="D64" s="111"/>
      <c r="E64" s="111"/>
      <c r="F64" s="111"/>
      <c r="G64" s="111"/>
    </row>
    <row r="65" spans="1:7">
      <c r="A65" s="164"/>
      <c r="B65" s="165">
        <v>0.3</v>
      </c>
      <c r="C65" s="312" t="s">
        <v>117</v>
      </c>
      <c r="D65" s="312"/>
      <c r="E65" s="312"/>
      <c r="F65" s="312"/>
      <c r="G65" s="312"/>
    </row>
    <row r="66" spans="1:7" ht="6" customHeight="1">
      <c r="A66" s="164"/>
      <c r="B66" s="166"/>
      <c r="C66" s="111"/>
      <c r="D66" s="111"/>
      <c r="E66" s="111"/>
      <c r="F66" s="111"/>
      <c r="G66" s="111"/>
    </row>
    <row r="67" spans="1:7">
      <c r="A67" s="164"/>
      <c r="B67" s="165">
        <v>0.1</v>
      </c>
      <c r="C67" s="312" t="s">
        <v>118</v>
      </c>
      <c r="D67" s="312"/>
      <c r="E67" s="312"/>
      <c r="F67" s="312"/>
      <c r="G67" s="312"/>
    </row>
    <row r="68" spans="1:7" ht="6" customHeight="1">
      <c r="A68" s="164"/>
      <c r="B68" s="166"/>
      <c r="C68" s="110"/>
      <c r="D68" s="110"/>
      <c r="E68" s="110"/>
      <c r="F68" s="110"/>
      <c r="G68" s="110"/>
    </row>
    <row r="69" spans="1:7">
      <c r="A69" s="161" t="s">
        <v>119</v>
      </c>
      <c r="B69" s="162" t="s">
        <v>120</v>
      </c>
      <c r="C69" s="163"/>
      <c r="D69" s="163"/>
      <c r="E69" s="163"/>
      <c r="F69" s="163"/>
      <c r="G69" s="163"/>
    </row>
    <row r="70" spans="1:7" ht="6.95" customHeight="1">
      <c r="A70" s="167"/>
      <c r="B70" s="162"/>
      <c r="C70" s="163"/>
      <c r="D70" s="163"/>
      <c r="E70" s="163"/>
      <c r="F70" s="163"/>
      <c r="G70" s="163"/>
    </row>
    <row r="71" spans="1:7" ht="47.25">
      <c r="A71" s="164"/>
      <c r="B71" s="168" t="s">
        <v>121</v>
      </c>
      <c r="C71" s="312" t="s">
        <v>122</v>
      </c>
      <c r="D71" s="312"/>
      <c r="E71" s="312"/>
      <c r="F71" s="312"/>
      <c r="G71" s="312"/>
    </row>
  </sheetData>
  <mergeCells count="25">
    <mergeCell ref="A2:A6"/>
    <mergeCell ref="G3:H3"/>
    <mergeCell ref="C4:C5"/>
    <mergeCell ref="G4:H4"/>
    <mergeCell ref="G5:H5"/>
    <mergeCell ref="G6:H6"/>
    <mergeCell ref="A54:H54"/>
    <mergeCell ref="B10:C10"/>
    <mergeCell ref="F10:H10"/>
    <mergeCell ref="B12:C12"/>
    <mergeCell ref="F12:H12"/>
    <mergeCell ref="A14:H14"/>
    <mergeCell ref="A16:H16"/>
    <mergeCell ref="A34:H34"/>
    <mergeCell ref="A35:H35"/>
    <mergeCell ref="A48:H48"/>
    <mergeCell ref="B50:G50"/>
    <mergeCell ref="B52:G52"/>
    <mergeCell ref="C71:G71"/>
    <mergeCell ref="B57:G57"/>
    <mergeCell ref="B59:G59"/>
    <mergeCell ref="B61:G61"/>
    <mergeCell ref="C63:G63"/>
    <mergeCell ref="C65:G65"/>
    <mergeCell ref="C67:G67"/>
  </mergeCells>
  <pageMargins left="0.39370078740157483" right="0.47244094488188981" top="0.39370078740157483" bottom="0.74803149606299213" header="0.31496062992125984" footer="0.31496062992125984"/>
  <pageSetup scale="53" fitToHeight="0" orientation="portrait" r:id="rId1"/>
  <headerFooter>
    <oddFooter>&amp;L&amp;"Swis721 LtCn BT,Light"&amp;12F-00.05.26.07.23-001&amp;C&amp;"Franklin Gothic Book,Normal"&amp;9
&amp;"Swis721 LtCn BT,Light"&amp;12
Desglose de la Propuesta
Presupuesto de Obra&amp;R&amp;"Swis721 LtCn BT,Light"&amp;12Página  &amp;P  de  &amp;N</oddFooter>
  </headerFooter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8EDAB-4D29-44F5-812C-6992F17E4B35}">
  <sheetPr codeName="Hoja7">
    <tabColor theme="5" tint="-0.499984740745262"/>
    <pageSetUpPr fitToPage="1"/>
  </sheetPr>
  <dimension ref="A1:CY223"/>
  <sheetViews>
    <sheetView topLeftCell="A68" zoomScale="87" zoomScaleNormal="70" workbookViewId="0">
      <selection activeCell="AN21" sqref="AN21:AU21"/>
    </sheetView>
  </sheetViews>
  <sheetFormatPr baseColWidth="10" defaultColWidth="11.42578125" defaultRowHeight="16.5" outlineLevelRow="3"/>
  <cols>
    <col min="1" max="1" width="2.140625" style="174" customWidth="1"/>
    <col min="2" max="64" width="3.42578125" style="174" customWidth="1"/>
    <col min="65" max="65" width="2.140625" style="176" customWidth="1"/>
    <col min="66" max="94" width="11.42578125" style="177"/>
    <col min="95" max="16384" width="11.42578125" style="87"/>
  </cols>
  <sheetData>
    <row r="1" spans="1:101" ht="79.5" customHeight="1">
      <c r="B1" s="440" t="s">
        <v>136</v>
      </c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0"/>
      <c r="AC1" s="440"/>
      <c r="AD1" s="440"/>
      <c r="AE1" s="440"/>
      <c r="AF1" s="440"/>
      <c r="AG1" s="440"/>
      <c r="AH1" s="440"/>
      <c r="AI1" s="440"/>
      <c r="AJ1" s="440"/>
      <c r="AK1" s="440"/>
      <c r="AL1" s="440"/>
      <c r="AM1" s="440"/>
      <c r="AN1" s="440"/>
      <c r="AO1" s="440"/>
      <c r="AP1" s="440"/>
      <c r="AQ1" s="440"/>
      <c r="AR1" s="440"/>
      <c r="AS1" s="440"/>
      <c r="AT1" s="440"/>
      <c r="AU1" s="440"/>
      <c r="AV1" s="440"/>
      <c r="AW1" s="440"/>
      <c r="AX1" s="440"/>
      <c r="AY1" s="440"/>
      <c r="AZ1" s="440"/>
      <c r="BA1" s="440"/>
      <c r="BB1" s="175"/>
    </row>
    <row r="2" spans="1:101" ht="18">
      <c r="B2" s="178" t="s">
        <v>137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</row>
    <row r="3" spans="1:101">
      <c r="B3" s="180" t="s">
        <v>138</v>
      </c>
      <c r="AM3" s="181"/>
    </row>
    <row r="4" spans="1:101" s="177" customFormat="1" ht="6.95" customHeight="1">
      <c r="A4" s="174"/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  <c r="BL4" s="174"/>
      <c r="BM4" s="176"/>
    </row>
    <row r="5" spans="1:101">
      <c r="B5" s="437" t="s">
        <v>139</v>
      </c>
      <c r="C5" s="437"/>
      <c r="D5" s="437"/>
      <c r="E5" s="437"/>
      <c r="F5" s="437"/>
      <c r="G5" s="437"/>
      <c r="H5" s="437"/>
      <c r="I5" s="437"/>
      <c r="J5" s="437"/>
      <c r="K5" s="437"/>
      <c r="L5" s="437"/>
      <c r="M5" s="437"/>
      <c r="N5" s="437"/>
      <c r="O5" s="437"/>
      <c r="P5" s="437"/>
      <c r="Q5" s="441">
        <f>'01_DATOS_GENERALES'!D9</f>
        <v>0</v>
      </c>
      <c r="R5" s="438"/>
      <c r="S5" s="438"/>
      <c r="T5" s="438"/>
      <c r="U5" s="438"/>
      <c r="V5" s="438"/>
      <c r="W5" s="438"/>
      <c r="X5" s="438"/>
      <c r="Y5" s="438"/>
      <c r="Z5" s="438"/>
      <c r="AA5" s="438"/>
      <c r="AB5" s="438"/>
      <c r="AC5" s="438"/>
      <c r="AD5" s="438"/>
      <c r="AE5" s="438"/>
      <c r="AH5" s="437" t="s">
        <v>140</v>
      </c>
      <c r="AI5" s="437"/>
      <c r="AJ5" s="437"/>
      <c r="AK5" s="437"/>
      <c r="AL5" s="437"/>
      <c r="AM5" s="437"/>
      <c r="AN5" s="437"/>
      <c r="AO5" s="437"/>
      <c r="AP5" s="437"/>
      <c r="AQ5" s="437"/>
      <c r="AR5" s="437"/>
      <c r="AS5" s="437"/>
      <c r="AT5" s="437"/>
      <c r="AU5" s="437"/>
      <c r="AV5" s="437"/>
      <c r="AW5" s="442">
        <f>B_PRESUPUESTO!L17</f>
        <v>7112811.7300000004</v>
      </c>
      <c r="AX5" s="443"/>
      <c r="AY5" s="443"/>
      <c r="AZ5" s="443"/>
      <c r="BA5" s="443"/>
      <c r="BB5" s="443"/>
      <c r="BC5" s="443"/>
      <c r="BD5" s="443"/>
      <c r="BE5" s="443"/>
      <c r="BF5" s="443"/>
      <c r="BG5" s="443"/>
      <c r="BH5" s="443"/>
      <c r="BI5" s="443"/>
      <c r="BJ5" s="443"/>
      <c r="BK5" s="443"/>
      <c r="BM5" s="182"/>
      <c r="BN5" s="176"/>
      <c r="BO5" s="176"/>
    </row>
    <row r="6" spans="1:101" ht="6.95" customHeight="1"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BM6" s="182"/>
      <c r="BN6" s="176"/>
      <c r="BO6" s="176"/>
    </row>
    <row r="7" spans="1:101">
      <c r="B7" s="437" t="s">
        <v>141</v>
      </c>
      <c r="C7" s="437"/>
      <c r="D7" s="437"/>
      <c r="E7" s="437"/>
      <c r="F7" s="437"/>
      <c r="G7" s="437"/>
      <c r="H7" s="437"/>
      <c r="I7" s="437"/>
      <c r="J7" s="437"/>
      <c r="K7" s="437"/>
      <c r="L7" s="437"/>
      <c r="M7" s="437"/>
      <c r="N7" s="437"/>
      <c r="O7" s="437"/>
      <c r="P7" s="437"/>
      <c r="Q7" s="438">
        <f>B_PRESUPUESTO!G4</f>
        <v>0</v>
      </c>
      <c r="R7" s="438"/>
      <c r="S7" s="438"/>
      <c r="T7" s="438"/>
      <c r="U7" s="438"/>
      <c r="V7" s="438"/>
      <c r="W7" s="438"/>
      <c r="X7" s="438"/>
      <c r="Y7" s="438"/>
      <c r="Z7" s="438"/>
      <c r="AA7" s="438"/>
      <c r="AB7" s="438"/>
      <c r="AC7" s="438"/>
      <c r="AD7" s="438"/>
      <c r="AE7" s="438"/>
      <c r="AH7" s="437" t="s">
        <v>142</v>
      </c>
      <c r="AI7" s="437"/>
      <c r="AJ7" s="437"/>
      <c r="AK7" s="437"/>
      <c r="AL7" s="437"/>
      <c r="AM7" s="437"/>
      <c r="AN7" s="437"/>
      <c r="AO7" s="437"/>
      <c r="AP7" s="437"/>
      <c r="AQ7" s="437"/>
      <c r="AR7" s="437"/>
      <c r="AS7" s="437"/>
      <c r="AT7" s="437"/>
      <c r="AU7" s="437"/>
      <c r="AV7" s="437"/>
      <c r="AW7" s="438">
        <f>B_PRESUPUESTO!G5</f>
        <v>0</v>
      </c>
      <c r="AX7" s="438"/>
      <c r="AY7" s="438"/>
      <c r="AZ7" s="438"/>
      <c r="BA7" s="438"/>
      <c r="BB7" s="438"/>
      <c r="BC7" s="438"/>
      <c r="BD7" s="438"/>
      <c r="BE7" s="438"/>
      <c r="BF7" s="438"/>
      <c r="BG7" s="438"/>
      <c r="BH7" s="438"/>
      <c r="BI7" s="438"/>
      <c r="BJ7" s="438"/>
      <c r="BK7" s="438"/>
      <c r="BM7" s="182"/>
      <c r="BN7" s="176"/>
      <c r="BO7" s="176"/>
    </row>
    <row r="8" spans="1:101" ht="6.95" customHeight="1"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  <c r="BH8" s="183"/>
      <c r="BI8" s="183"/>
      <c r="BJ8" s="183"/>
      <c r="BK8" s="183"/>
      <c r="BM8" s="182"/>
      <c r="BN8" s="176"/>
      <c r="BO8" s="176"/>
    </row>
    <row r="9" spans="1:101">
      <c r="B9" s="437" t="s">
        <v>143</v>
      </c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8">
        <f>B_PRESUPUESTO!B12</f>
        <v>0</v>
      </c>
      <c r="R9" s="438"/>
      <c r="S9" s="438"/>
      <c r="T9" s="438"/>
      <c r="U9" s="438"/>
      <c r="V9" s="438"/>
      <c r="W9" s="438"/>
      <c r="X9" s="438"/>
      <c r="Y9" s="438"/>
      <c r="Z9" s="438"/>
      <c r="AA9" s="438"/>
      <c r="AB9" s="438"/>
      <c r="AC9" s="438"/>
      <c r="AD9" s="438"/>
      <c r="AE9" s="438"/>
      <c r="AH9" s="437" t="s">
        <v>144</v>
      </c>
      <c r="AI9" s="437"/>
      <c r="AJ9" s="437"/>
      <c r="AK9" s="437"/>
      <c r="AL9" s="437"/>
      <c r="AM9" s="437"/>
      <c r="AN9" s="437"/>
      <c r="AO9" s="437"/>
      <c r="AP9" s="437"/>
      <c r="AQ9" s="437"/>
      <c r="AR9" s="437"/>
      <c r="AS9" s="437"/>
      <c r="AT9" s="437"/>
      <c r="AU9" s="437"/>
      <c r="AV9" s="437"/>
      <c r="AW9" s="438">
        <f>B_PRESUPUESTO!F12</f>
        <v>0</v>
      </c>
      <c r="AX9" s="438"/>
      <c r="AY9" s="438"/>
      <c r="AZ9" s="438"/>
      <c r="BA9" s="438"/>
      <c r="BB9" s="438"/>
      <c r="BC9" s="438"/>
      <c r="BD9" s="438"/>
      <c r="BE9" s="438"/>
      <c r="BF9" s="438"/>
      <c r="BG9" s="438"/>
      <c r="BH9" s="438"/>
      <c r="BI9" s="438"/>
      <c r="BJ9" s="438"/>
      <c r="BK9" s="438"/>
      <c r="BM9" s="182"/>
      <c r="BN9" s="176"/>
      <c r="BO9" s="176"/>
    </row>
    <row r="10" spans="1:101" ht="6.95" customHeight="1"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183"/>
      <c r="BJ10" s="183"/>
      <c r="BK10" s="183"/>
      <c r="BM10" s="182"/>
      <c r="BN10" s="176"/>
      <c r="BO10" s="176"/>
    </row>
    <row r="11" spans="1:101">
      <c r="B11" s="437" t="s">
        <v>145</v>
      </c>
      <c r="C11" s="437"/>
      <c r="D11" s="437"/>
      <c r="E11" s="437"/>
      <c r="F11" s="437"/>
      <c r="G11" s="437"/>
      <c r="H11" s="437"/>
      <c r="I11" s="437"/>
      <c r="J11" s="437"/>
      <c r="K11" s="437"/>
      <c r="L11" s="437"/>
      <c r="M11" s="437"/>
      <c r="N11" s="437"/>
      <c r="O11" s="437"/>
      <c r="P11" s="437"/>
      <c r="Q11" s="438" t="str">
        <f>'01_DATOS_GENERALES'!D21</f>
        <v>Ingenieria y Construcciones Dyven, S.A. de C.V.</v>
      </c>
      <c r="R11" s="438"/>
      <c r="S11" s="438"/>
      <c r="T11" s="438"/>
      <c r="U11" s="438"/>
      <c r="V11" s="438"/>
      <c r="W11" s="438"/>
      <c r="X11" s="438"/>
      <c r="Y11" s="438"/>
      <c r="Z11" s="438"/>
      <c r="AA11" s="438"/>
      <c r="AB11" s="438"/>
      <c r="AC11" s="438"/>
      <c r="AD11" s="438"/>
      <c r="AE11" s="438"/>
      <c r="AH11" s="437" t="s">
        <v>146</v>
      </c>
      <c r="AI11" s="437"/>
      <c r="AJ11" s="437"/>
      <c r="AK11" s="437"/>
      <c r="AL11" s="437"/>
      <c r="AM11" s="437"/>
      <c r="AN11" s="437"/>
      <c r="AO11" s="437"/>
      <c r="AP11" s="437"/>
      <c r="AQ11" s="437"/>
      <c r="AR11" s="437"/>
      <c r="AS11" s="437"/>
      <c r="AT11" s="437"/>
      <c r="AU11" s="437"/>
      <c r="AV11" s="437"/>
      <c r="AW11" s="439">
        <v>2.5</v>
      </c>
      <c r="AX11" s="439"/>
      <c r="AY11" s="439"/>
      <c r="AZ11" s="439"/>
      <c r="BA11" s="439"/>
      <c r="BB11" s="439"/>
      <c r="BC11" s="439"/>
      <c r="BD11" s="439"/>
      <c r="BE11" s="439"/>
      <c r="BF11" s="439"/>
      <c r="BG11" s="439"/>
      <c r="BH11" s="439"/>
      <c r="BI11" s="439"/>
      <c r="BJ11" s="439"/>
      <c r="BK11" s="439"/>
      <c r="BM11" s="182"/>
      <c r="BN11" s="176"/>
      <c r="BO11" s="176"/>
    </row>
    <row r="12" spans="1:101" ht="6.95" customHeight="1"/>
    <row r="13" spans="1:101" s="177" customFormat="1" ht="18">
      <c r="A13" s="174"/>
      <c r="B13" s="184" t="s">
        <v>147</v>
      </c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4"/>
      <c r="BI13" s="174"/>
      <c r="BJ13" s="174"/>
      <c r="BK13" s="174"/>
      <c r="BL13" s="174"/>
      <c r="BM13" s="176"/>
      <c r="CQ13" s="87"/>
      <c r="CR13" s="87"/>
      <c r="CS13" s="87"/>
      <c r="CT13" s="87"/>
      <c r="CU13" s="87"/>
      <c r="CV13" s="87"/>
      <c r="CW13" s="87"/>
    </row>
    <row r="14" spans="1:101" s="177" customFormat="1" ht="6.95" customHeight="1">
      <c r="A14" s="174"/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  <c r="AP14" s="174"/>
      <c r="AQ14" s="174"/>
      <c r="AR14" s="174"/>
      <c r="AS14" s="174"/>
      <c r="AT14" s="174"/>
      <c r="AU14" s="174"/>
      <c r="AV14" s="174"/>
      <c r="AW14" s="174"/>
      <c r="AX14" s="174"/>
      <c r="AY14" s="174"/>
      <c r="AZ14" s="174"/>
      <c r="BA14" s="174"/>
      <c r="BB14" s="174"/>
      <c r="BC14" s="174"/>
      <c r="BD14" s="174"/>
      <c r="BE14" s="174"/>
      <c r="BF14" s="174"/>
      <c r="BG14" s="174"/>
      <c r="BH14" s="174"/>
      <c r="BI14" s="174"/>
      <c r="BJ14" s="174"/>
      <c r="BK14" s="174"/>
      <c r="BL14" s="174"/>
      <c r="BM14" s="176"/>
      <c r="CQ14" s="87"/>
      <c r="CR14" s="87"/>
      <c r="CS14" s="87"/>
      <c r="CT14" s="87"/>
      <c r="CU14" s="87"/>
      <c r="CV14" s="87"/>
      <c r="CW14" s="87"/>
    </row>
    <row r="15" spans="1:101" s="177" customFormat="1">
      <c r="A15" s="174"/>
      <c r="B15" s="185" t="s">
        <v>148</v>
      </c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74"/>
      <c r="BA15" s="174"/>
      <c r="BB15" s="174"/>
      <c r="BC15" s="174"/>
      <c r="BD15" s="174"/>
      <c r="BE15" s="174"/>
      <c r="BF15" s="174"/>
      <c r="BG15" s="174"/>
      <c r="BH15" s="174"/>
      <c r="BI15" s="174"/>
      <c r="BJ15" s="174"/>
      <c r="BK15" s="174"/>
      <c r="BL15" s="174"/>
      <c r="BM15" s="176"/>
      <c r="CQ15" s="87"/>
      <c r="CR15" s="87"/>
      <c r="CS15" s="87"/>
      <c r="CT15" s="87"/>
      <c r="CU15" s="87"/>
      <c r="CV15" s="87"/>
      <c r="CW15" s="87"/>
    </row>
    <row r="16" spans="1:101" s="177" customFormat="1" outlineLevel="1">
      <c r="A16" s="174"/>
      <c r="B16" s="185" t="s">
        <v>149</v>
      </c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4"/>
      <c r="BC16" s="174"/>
      <c r="BD16" s="174"/>
      <c r="BE16" s="174"/>
      <c r="BF16" s="174"/>
      <c r="BG16" s="174"/>
      <c r="BH16" s="174"/>
      <c r="BI16" s="174"/>
      <c r="BJ16" s="174"/>
      <c r="BK16" s="174"/>
      <c r="BL16" s="174"/>
      <c r="BM16" s="176"/>
      <c r="CQ16" s="87"/>
      <c r="CR16" s="87"/>
      <c r="CS16" s="87"/>
      <c r="CT16" s="87"/>
      <c r="CU16" s="87"/>
      <c r="CV16" s="87"/>
      <c r="CW16" s="87"/>
    </row>
    <row r="17" spans="1:101" s="177" customFormat="1" outlineLevel="2">
      <c r="A17" s="174"/>
      <c r="B17" s="185" t="s">
        <v>150</v>
      </c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  <c r="AP17" s="174"/>
      <c r="AQ17" s="174"/>
      <c r="AR17" s="174"/>
      <c r="AS17" s="174"/>
      <c r="AT17" s="174"/>
      <c r="AU17" s="174"/>
      <c r="AV17" s="174"/>
      <c r="AW17" s="174"/>
      <c r="AX17" s="174"/>
      <c r="AY17" s="174"/>
      <c r="AZ17" s="174"/>
      <c r="BA17" s="174"/>
      <c r="BB17" s="174"/>
      <c r="BC17" s="174"/>
      <c r="BD17" s="174"/>
      <c r="BE17" s="174"/>
      <c r="BF17" s="174"/>
      <c r="BG17" s="174"/>
      <c r="BH17" s="174"/>
      <c r="BI17" s="174"/>
      <c r="BJ17" s="174"/>
      <c r="BK17" s="174"/>
      <c r="BL17" s="174"/>
      <c r="BM17" s="176"/>
      <c r="CA17" s="186" t="s">
        <v>151</v>
      </c>
      <c r="CD17" s="186" t="s">
        <v>152</v>
      </c>
      <c r="CQ17" s="87"/>
      <c r="CR17" s="87"/>
      <c r="CS17" s="87"/>
      <c r="CT17" s="87"/>
      <c r="CU17" s="87"/>
      <c r="CV17" s="87"/>
      <c r="CW17" s="87"/>
    </row>
    <row r="18" spans="1:101" s="177" customFormat="1" ht="6.95" customHeight="1" outlineLevel="3">
      <c r="A18" s="174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/>
      <c r="AX18" s="174"/>
      <c r="AY18" s="174"/>
      <c r="AZ18" s="174"/>
      <c r="BA18" s="174"/>
      <c r="BB18" s="174"/>
      <c r="BC18" s="174"/>
      <c r="BD18" s="174"/>
      <c r="BE18" s="174"/>
      <c r="BF18" s="174"/>
      <c r="BG18" s="174"/>
      <c r="BH18" s="174"/>
      <c r="BI18" s="174"/>
      <c r="BJ18" s="174"/>
      <c r="BK18" s="174"/>
      <c r="BL18" s="174"/>
      <c r="BM18" s="176"/>
      <c r="CQ18" s="87"/>
      <c r="CR18" s="87"/>
      <c r="CS18" s="87"/>
      <c r="CT18" s="87"/>
      <c r="CU18" s="87"/>
      <c r="CV18" s="87"/>
      <c r="CW18" s="87"/>
    </row>
    <row r="19" spans="1:101" s="177" customFormat="1" outlineLevel="3">
      <c r="A19" s="174"/>
      <c r="B19" s="378" t="s">
        <v>153</v>
      </c>
      <c r="C19" s="379"/>
      <c r="D19" s="378" t="s">
        <v>21</v>
      </c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79"/>
      <c r="P19" s="378" t="s">
        <v>154</v>
      </c>
      <c r="Q19" s="380"/>
      <c r="R19" s="380"/>
      <c r="S19" s="380"/>
      <c r="T19" s="380"/>
      <c r="U19" s="380"/>
      <c r="V19" s="380"/>
      <c r="W19" s="379"/>
      <c r="X19" s="378" t="s">
        <v>155</v>
      </c>
      <c r="Y19" s="380"/>
      <c r="Z19" s="380"/>
      <c r="AA19" s="380"/>
      <c r="AB19" s="380"/>
      <c r="AC19" s="380"/>
      <c r="AD19" s="380"/>
      <c r="AE19" s="379"/>
      <c r="AF19" s="378" t="s">
        <v>156</v>
      </c>
      <c r="AG19" s="380"/>
      <c r="AH19" s="380"/>
      <c r="AI19" s="380"/>
      <c r="AJ19" s="380"/>
      <c r="AK19" s="380"/>
      <c r="AL19" s="380"/>
      <c r="AM19" s="379"/>
      <c r="AN19" s="378" t="s">
        <v>157</v>
      </c>
      <c r="AO19" s="380"/>
      <c r="AP19" s="380"/>
      <c r="AQ19" s="380"/>
      <c r="AR19" s="380"/>
      <c r="AS19" s="380"/>
      <c r="AT19" s="380"/>
      <c r="AU19" s="379"/>
      <c r="AV19" s="378" t="s">
        <v>158</v>
      </c>
      <c r="AW19" s="380"/>
      <c r="AX19" s="380"/>
      <c r="AY19" s="380"/>
      <c r="AZ19" s="380"/>
      <c r="BA19" s="380"/>
      <c r="BB19" s="380"/>
      <c r="BC19" s="379"/>
      <c r="BD19" s="378" t="s">
        <v>62</v>
      </c>
      <c r="BE19" s="380"/>
      <c r="BF19" s="380"/>
      <c r="BG19" s="380"/>
      <c r="BH19" s="380"/>
      <c r="BI19" s="380"/>
      <c r="BJ19" s="380"/>
      <c r="BK19" s="379"/>
      <c r="BL19" s="174"/>
      <c r="BM19" s="176"/>
      <c r="BN19" s="176"/>
      <c r="BO19" s="176"/>
      <c r="CA19" s="177" t="s">
        <v>159</v>
      </c>
      <c r="CD19" s="177" t="s">
        <v>160</v>
      </c>
      <c r="CQ19" s="87"/>
      <c r="CR19" s="87"/>
      <c r="CS19" s="87"/>
      <c r="CT19" s="87"/>
      <c r="CU19" s="87"/>
      <c r="CV19" s="87"/>
      <c r="CW19" s="87"/>
    </row>
    <row r="20" spans="1:101" s="177" customFormat="1" outlineLevel="3">
      <c r="A20" s="174"/>
      <c r="B20" s="352">
        <v>1</v>
      </c>
      <c r="C20" s="353"/>
      <c r="D20" s="404" t="s">
        <v>161</v>
      </c>
      <c r="E20" s="405"/>
      <c r="F20" s="405"/>
      <c r="G20" s="405"/>
      <c r="H20" s="405"/>
      <c r="I20" s="405"/>
      <c r="J20" s="405"/>
      <c r="K20" s="405"/>
      <c r="L20" s="405"/>
      <c r="M20" s="405"/>
      <c r="N20" s="405"/>
      <c r="O20" s="406"/>
      <c r="P20" s="431">
        <v>25000</v>
      </c>
      <c r="Q20" s="432"/>
      <c r="R20" s="432"/>
      <c r="S20" s="432"/>
      <c r="T20" s="432"/>
      <c r="U20" s="432"/>
      <c r="V20" s="432"/>
      <c r="W20" s="433"/>
      <c r="X20" s="423">
        <v>1.35</v>
      </c>
      <c r="Y20" s="424"/>
      <c r="Z20" s="424"/>
      <c r="AA20" s="424"/>
      <c r="AB20" s="424"/>
      <c r="AC20" s="424"/>
      <c r="AD20" s="424"/>
      <c r="AE20" s="425"/>
      <c r="AF20" s="375">
        <f t="shared" ref="AF20:AF29" si="0">P20*X20</f>
        <v>33750</v>
      </c>
      <c r="AG20" s="376"/>
      <c r="AH20" s="376"/>
      <c r="AI20" s="376"/>
      <c r="AJ20" s="376"/>
      <c r="AK20" s="376"/>
      <c r="AL20" s="376"/>
      <c r="AM20" s="377"/>
      <c r="AN20" s="431">
        <v>0</v>
      </c>
      <c r="AO20" s="432"/>
      <c r="AP20" s="432"/>
      <c r="AQ20" s="432"/>
      <c r="AR20" s="432"/>
      <c r="AS20" s="432"/>
      <c r="AT20" s="432"/>
      <c r="AU20" s="433"/>
      <c r="AV20" s="423">
        <f>$AW$11</f>
        <v>2.5</v>
      </c>
      <c r="AW20" s="424"/>
      <c r="AX20" s="424"/>
      <c r="AY20" s="424"/>
      <c r="AZ20" s="424"/>
      <c r="BA20" s="424"/>
      <c r="BB20" s="424"/>
      <c r="BC20" s="425"/>
      <c r="BD20" s="375">
        <f t="shared" ref="BD20:BD29" si="1">(AF20+AN20)*AV20</f>
        <v>84375</v>
      </c>
      <c r="BE20" s="376"/>
      <c r="BF20" s="376"/>
      <c r="BG20" s="376"/>
      <c r="BH20" s="376"/>
      <c r="BI20" s="376"/>
      <c r="BJ20" s="376"/>
      <c r="BK20" s="377"/>
      <c r="BL20" s="174"/>
      <c r="BM20" s="176"/>
      <c r="CA20" s="177" t="s">
        <v>161</v>
      </c>
      <c r="CD20" s="177" t="s">
        <v>162</v>
      </c>
      <c r="CQ20" s="87"/>
      <c r="CR20" s="87"/>
      <c r="CS20" s="87"/>
      <c r="CT20" s="87"/>
      <c r="CU20" s="87"/>
      <c r="CV20" s="87"/>
      <c r="CW20" s="87"/>
    </row>
    <row r="21" spans="1:101" s="177" customFormat="1" outlineLevel="3">
      <c r="A21" s="174"/>
      <c r="B21" s="352">
        <v>2</v>
      </c>
      <c r="C21" s="353"/>
      <c r="D21" s="404" t="s">
        <v>163</v>
      </c>
      <c r="E21" s="405"/>
      <c r="F21" s="405"/>
      <c r="G21" s="405"/>
      <c r="H21" s="405"/>
      <c r="I21" s="405"/>
      <c r="J21" s="405"/>
      <c r="K21" s="405"/>
      <c r="L21" s="405"/>
      <c r="M21" s="405"/>
      <c r="N21" s="405"/>
      <c r="O21" s="406"/>
      <c r="P21" s="431">
        <v>20000</v>
      </c>
      <c r="Q21" s="432"/>
      <c r="R21" s="432"/>
      <c r="S21" s="432"/>
      <c r="T21" s="432"/>
      <c r="U21" s="432"/>
      <c r="V21" s="432"/>
      <c r="W21" s="433"/>
      <c r="X21" s="423">
        <v>1.35</v>
      </c>
      <c r="Y21" s="424"/>
      <c r="Z21" s="424"/>
      <c r="AA21" s="424"/>
      <c r="AB21" s="424"/>
      <c r="AC21" s="424"/>
      <c r="AD21" s="424"/>
      <c r="AE21" s="425"/>
      <c r="AF21" s="375">
        <f t="shared" si="0"/>
        <v>27000</v>
      </c>
      <c r="AG21" s="376"/>
      <c r="AH21" s="376"/>
      <c r="AI21" s="376"/>
      <c r="AJ21" s="376"/>
      <c r="AK21" s="376"/>
      <c r="AL21" s="376"/>
      <c r="AM21" s="377"/>
      <c r="AN21" s="431">
        <v>0</v>
      </c>
      <c r="AO21" s="432"/>
      <c r="AP21" s="432"/>
      <c r="AQ21" s="432"/>
      <c r="AR21" s="432"/>
      <c r="AS21" s="432"/>
      <c r="AT21" s="432"/>
      <c r="AU21" s="433"/>
      <c r="AV21" s="423">
        <f>AW11</f>
        <v>2.5</v>
      </c>
      <c r="AW21" s="424"/>
      <c r="AX21" s="424"/>
      <c r="AY21" s="424"/>
      <c r="AZ21" s="424"/>
      <c r="BA21" s="424"/>
      <c r="BB21" s="424"/>
      <c r="BC21" s="425"/>
      <c r="BD21" s="375">
        <f t="shared" si="1"/>
        <v>67500</v>
      </c>
      <c r="BE21" s="376"/>
      <c r="BF21" s="376"/>
      <c r="BG21" s="376"/>
      <c r="BH21" s="376"/>
      <c r="BI21" s="376"/>
      <c r="BJ21" s="376"/>
      <c r="BK21" s="377"/>
      <c r="BL21" s="174"/>
      <c r="BM21" s="176"/>
      <c r="CA21" s="177" t="s">
        <v>163</v>
      </c>
      <c r="CD21" s="177" t="s">
        <v>164</v>
      </c>
      <c r="CQ21" s="87"/>
      <c r="CR21" s="87"/>
      <c r="CS21" s="87"/>
      <c r="CT21" s="87"/>
      <c r="CU21" s="87"/>
      <c r="CV21" s="87"/>
      <c r="CW21" s="87"/>
    </row>
    <row r="22" spans="1:101" s="177" customFormat="1" outlineLevel="3">
      <c r="A22" s="174"/>
      <c r="B22" s="352">
        <v>3</v>
      </c>
      <c r="C22" s="353"/>
      <c r="D22" s="404" t="s">
        <v>165</v>
      </c>
      <c r="E22" s="405"/>
      <c r="F22" s="405"/>
      <c r="G22" s="405"/>
      <c r="H22" s="405"/>
      <c r="I22" s="405"/>
      <c r="J22" s="405"/>
      <c r="K22" s="405"/>
      <c r="L22" s="405"/>
      <c r="M22" s="405"/>
      <c r="N22" s="405"/>
      <c r="O22" s="406"/>
      <c r="P22" s="431">
        <v>24000</v>
      </c>
      <c r="Q22" s="432"/>
      <c r="R22" s="432"/>
      <c r="S22" s="432"/>
      <c r="T22" s="432"/>
      <c r="U22" s="432"/>
      <c r="V22" s="432"/>
      <c r="W22" s="433"/>
      <c r="X22" s="423">
        <v>1.35</v>
      </c>
      <c r="Y22" s="424"/>
      <c r="Z22" s="424"/>
      <c r="AA22" s="424"/>
      <c r="AB22" s="424"/>
      <c r="AC22" s="424"/>
      <c r="AD22" s="424"/>
      <c r="AE22" s="425"/>
      <c r="AF22" s="375">
        <f t="shared" si="0"/>
        <v>32400.000000000004</v>
      </c>
      <c r="AG22" s="376"/>
      <c r="AH22" s="376"/>
      <c r="AI22" s="376"/>
      <c r="AJ22" s="376"/>
      <c r="AK22" s="376"/>
      <c r="AL22" s="376"/>
      <c r="AM22" s="377"/>
      <c r="AN22" s="431">
        <v>0</v>
      </c>
      <c r="AO22" s="432"/>
      <c r="AP22" s="432"/>
      <c r="AQ22" s="432"/>
      <c r="AR22" s="432"/>
      <c r="AS22" s="432"/>
      <c r="AT22" s="432"/>
      <c r="AU22" s="433"/>
      <c r="AV22" s="423">
        <v>0</v>
      </c>
      <c r="AW22" s="424"/>
      <c r="AX22" s="424"/>
      <c r="AY22" s="424"/>
      <c r="AZ22" s="424"/>
      <c r="BA22" s="424"/>
      <c r="BB22" s="424"/>
      <c r="BC22" s="425"/>
      <c r="BD22" s="375">
        <f t="shared" si="1"/>
        <v>0</v>
      </c>
      <c r="BE22" s="376"/>
      <c r="BF22" s="376"/>
      <c r="BG22" s="376"/>
      <c r="BH22" s="376"/>
      <c r="BI22" s="376"/>
      <c r="BJ22" s="376"/>
      <c r="BK22" s="377"/>
      <c r="BL22" s="174"/>
      <c r="BM22" s="176"/>
      <c r="CA22" s="177" t="s">
        <v>166</v>
      </c>
      <c r="CD22" s="177" t="s">
        <v>167</v>
      </c>
      <c r="CQ22" s="87"/>
      <c r="CR22" s="87"/>
      <c r="CS22" s="87"/>
      <c r="CT22" s="87"/>
      <c r="CU22" s="87"/>
      <c r="CV22" s="87"/>
      <c r="CW22" s="87"/>
    </row>
    <row r="23" spans="1:101" s="177" customFormat="1" outlineLevel="3">
      <c r="A23" s="174"/>
      <c r="B23" s="352">
        <v>4</v>
      </c>
      <c r="C23" s="353"/>
      <c r="D23" s="404"/>
      <c r="E23" s="405"/>
      <c r="F23" s="405"/>
      <c r="G23" s="405"/>
      <c r="H23" s="405"/>
      <c r="I23" s="405"/>
      <c r="J23" s="405"/>
      <c r="K23" s="405"/>
      <c r="L23" s="405"/>
      <c r="M23" s="405"/>
      <c r="N23" s="405"/>
      <c r="O23" s="406"/>
      <c r="P23" s="431"/>
      <c r="Q23" s="432"/>
      <c r="R23" s="432"/>
      <c r="S23" s="432"/>
      <c r="T23" s="432"/>
      <c r="U23" s="432"/>
      <c r="V23" s="432"/>
      <c r="W23" s="433"/>
      <c r="X23" s="423">
        <v>1</v>
      </c>
      <c r="Y23" s="424"/>
      <c r="Z23" s="424"/>
      <c r="AA23" s="424"/>
      <c r="AB23" s="424"/>
      <c r="AC23" s="424"/>
      <c r="AD23" s="424"/>
      <c r="AE23" s="425"/>
      <c r="AF23" s="375">
        <f t="shared" si="0"/>
        <v>0</v>
      </c>
      <c r="AG23" s="376"/>
      <c r="AH23" s="376"/>
      <c r="AI23" s="376"/>
      <c r="AJ23" s="376"/>
      <c r="AK23" s="376"/>
      <c r="AL23" s="376"/>
      <c r="AM23" s="377"/>
      <c r="AN23" s="431">
        <v>0</v>
      </c>
      <c r="AO23" s="432"/>
      <c r="AP23" s="432"/>
      <c r="AQ23" s="432"/>
      <c r="AR23" s="432"/>
      <c r="AS23" s="432"/>
      <c r="AT23" s="432"/>
      <c r="AU23" s="433"/>
      <c r="AV23" s="423">
        <v>0</v>
      </c>
      <c r="AW23" s="424"/>
      <c r="AX23" s="424"/>
      <c r="AY23" s="424"/>
      <c r="AZ23" s="424"/>
      <c r="BA23" s="424"/>
      <c r="BB23" s="424"/>
      <c r="BC23" s="425"/>
      <c r="BD23" s="375">
        <f t="shared" si="1"/>
        <v>0</v>
      </c>
      <c r="BE23" s="376"/>
      <c r="BF23" s="376"/>
      <c r="BG23" s="376"/>
      <c r="BH23" s="376"/>
      <c r="BI23" s="376"/>
      <c r="BJ23" s="376"/>
      <c r="BK23" s="377"/>
      <c r="BL23" s="174"/>
      <c r="BM23" s="176"/>
      <c r="CA23" s="177" t="s">
        <v>165</v>
      </c>
      <c r="CD23" s="177" t="s">
        <v>168</v>
      </c>
      <c r="CQ23" s="87"/>
      <c r="CR23" s="87"/>
      <c r="CS23" s="87"/>
      <c r="CT23" s="87"/>
      <c r="CU23" s="87"/>
      <c r="CV23" s="87"/>
      <c r="CW23" s="87"/>
    </row>
    <row r="24" spans="1:101" s="177" customFormat="1" outlineLevel="3">
      <c r="A24" s="174"/>
      <c r="B24" s="352">
        <v>5</v>
      </c>
      <c r="C24" s="353"/>
      <c r="D24" s="404"/>
      <c r="E24" s="405"/>
      <c r="F24" s="405"/>
      <c r="G24" s="405"/>
      <c r="H24" s="405"/>
      <c r="I24" s="405"/>
      <c r="J24" s="405"/>
      <c r="K24" s="405"/>
      <c r="L24" s="405"/>
      <c r="M24" s="405"/>
      <c r="N24" s="405"/>
      <c r="O24" s="406"/>
      <c r="P24" s="431"/>
      <c r="Q24" s="432"/>
      <c r="R24" s="432"/>
      <c r="S24" s="432"/>
      <c r="T24" s="432"/>
      <c r="U24" s="432"/>
      <c r="V24" s="432"/>
      <c r="W24" s="433"/>
      <c r="X24" s="423">
        <v>1</v>
      </c>
      <c r="Y24" s="424"/>
      <c r="Z24" s="424"/>
      <c r="AA24" s="424"/>
      <c r="AB24" s="424"/>
      <c r="AC24" s="424"/>
      <c r="AD24" s="424"/>
      <c r="AE24" s="425"/>
      <c r="AF24" s="375">
        <f t="shared" si="0"/>
        <v>0</v>
      </c>
      <c r="AG24" s="376"/>
      <c r="AH24" s="376"/>
      <c r="AI24" s="376"/>
      <c r="AJ24" s="376"/>
      <c r="AK24" s="376"/>
      <c r="AL24" s="376"/>
      <c r="AM24" s="377"/>
      <c r="AN24" s="431">
        <v>0</v>
      </c>
      <c r="AO24" s="432"/>
      <c r="AP24" s="432"/>
      <c r="AQ24" s="432"/>
      <c r="AR24" s="432"/>
      <c r="AS24" s="432"/>
      <c r="AT24" s="432"/>
      <c r="AU24" s="433"/>
      <c r="AV24" s="423">
        <v>0</v>
      </c>
      <c r="AW24" s="424"/>
      <c r="AX24" s="424"/>
      <c r="AY24" s="424"/>
      <c r="AZ24" s="424"/>
      <c r="BA24" s="424"/>
      <c r="BB24" s="424"/>
      <c r="BC24" s="425"/>
      <c r="BD24" s="375">
        <f t="shared" si="1"/>
        <v>0</v>
      </c>
      <c r="BE24" s="376"/>
      <c r="BF24" s="376"/>
      <c r="BG24" s="376"/>
      <c r="BH24" s="376"/>
      <c r="BI24" s="376"/>
      <c r="BJ24" s="376"/>
      <c r="BK24" s="377"/>
      <c r="BL24" s="174"/>
      <c r="BM24" s="176"/>
      <c r="CA24" s="177" t="s">
        <v>169</v>
      </c>
      <c r="CD24" s="177" t="s">
        <v>170</v>
      </c>
      <c r="CQ24" s="87"/>
      <c r="CR24" s="87"/>
      <c r="CS24" s="87"/>
      <c r="CT24" s="87"/>
      <c r="CU24" s="87"/>
      <c r="CV24" s="87"/>
      <c r="CW24" s="87"/>
    </row>
    <row r="25" spans="1:101" s="177" customFormat="1" outlineLevel="3">
      <c r="A25" s="174"/>
      <c r="B25" s="352">
        <v>6</v>
      </c>
      <c r="C25" s="353"/>
      <c r="D25" s="404"/>
      <c r="E25" s="405"/>
      <c r="F25" s="405"/>
      <c r="G25" s="405"/>
      <c r="H25" s="405"/>
      <c r="I25" s="405"/>
      <c r="J25" s="405"/>
      <c r="K25" s="405"/>
      <c r="L25" s="405"/>
      <c r="M25" s="405"/>
      <c r="N25" s="405"/>
      <c r="O25" s="406"/>
      <c r="P25" s="431"/>
      <c r="Q25" s="432"/>
      <c r="R25" s="432"/>
      <c r="S25" s="432"/>
      <c r="T25" s="432"/>
      <c r="U25" s="432"/>
      <c r="V25" s="432"/>
      <c r="W25" s="433"/>
      <c r="X25" s="423">
        <v>1</v>
      </c>
      <c r="Y25" s="424"/>
      <c r="Z25" s="424"/>
      <c r="AA25" s="424"/>
      <c r="AB25" s="424"/>
      <c r="AC25" s="424"/>
      <c r="AD25" s="424"/>
      <c r="AE25" s="425"/>
      <c r="AF25" s="375">
        <f t="shared" si="0"/>
        <v>0</v>
      </c>
      <c r="AG25" s="376"/>
      <c r="AH25" s="376"/>
      <c r="AI25" s="376"/>
      <c r="AJ25" s="376"/>
      <c r="AK25" s="376"/>
      <c r="AL25" s="376"/>
      <c r="AM25" s="377"/>
      <c r="AN25" s="431">
        <v>0</v>
      </c>
      <c r="AO25" s="432"/>
      <c r="AP25" s="432"/>
      <c r="AQ25" s="432"/>
      <c r="AR25" s="432"/>
      <c r="AS25" s="432"/>
      <c r="AT25" s="432"/>
      <c r="AU25" s="433"/>
      <c r="AV25" s="423">
        <v>0</v>
      </c>
      <c r="AW25" s="424"/>
      <c r="AX25" s="424"/>
      <c r="AY25" s="424"/>
      <c r="AZ25" s="424"/>
      <c r="BA25" s="424"/>
      <c r="BB25" s="424"/>
      <c r="BC25" s="425"/>
      <c r="BD25" s="375">
        <f t="shared" si="1"/>
        <v>0</v>
      </c>
      <c r="BE25" s="376"/>
      <c r="BF25" s="376"/>
      <c r="BG25" s="376"/>
      <c r="BH25" s="376"/>
      <c r="BI25" s="376"/>
      <c r="BJ25" s="376"/>
      <c r="BK25" s="377"/>
      <c r="BL25" s="174"/>
      <c r="BM25" s="176"/>
      <c r="CA25" s="177" t="s">
        <v>171</v>
      </c>
      <c r="CD25" s="177" t="s">
        <v>172</v>
      </c>
      <c r="CQ25" s="87"/>
      <c r="CR25" s="87"/>
      <c r="CS25" s="87"/>
      <c r="CT25" s="87"/>
      <c r="CU25" s="87"/>
      <c r="CV25" s="87"/>
      <c r="CW25" s="87"/>
    </row>
    <row r="26" spans="1:101" s="177" customFormat="1" outlineLevel="3">
      <c r="A26" s="174"/>
      <c r="B26" s="352">
        <v>7</v>
      </c>
      <c r="C26" s="353"/>
      <c r="D26" s="404"/>
      <c r="E26" s="405"/>
      <c r="F26" s="405"/>
      <c r="G26" s="405"/>
      <c r="H26" s="405"/>
      <c r="I26" s="405"/>
      <c r="J26" s="405"/>
      <c r="K26" s="405"/>
      <c r="L26" s="405"/>
      <c r="M26" s="405"/>
      <c r="N26" s="405"/>
      <c r="O26" s="406"/>
      <c r="P26" s="431"/>
      <c r="Q26" s="432"/>
      <c r="R26" s="432"/>
      <c r="S26" s="432"/>
      <c r="T26" s="432"/>
      <c r="U26" s="432"/>
      <c r="V26" s="432"/>
      <c r="W26" s="433"/>
      <c r="X26" s="423">
        <v>1</v>
      </c>
      <c r="Y26" s="424"/>
      <c r="Z26" s="424"/>
      <c r="AA26" s="424"/>
      <c r="AB26" s="424"/>
      <c r="AC26" s="424"/>
      <c r="AD26" s="424"/>
      <c r="AE26" s="425"/>
      <c r="AF26" s="375">
        <f t="shared" si="0"/>
        <v>0</v>
      </c>
      <c r="AG26" s="376"/>
      <c r="AH26" s="376"/>
      <c r="AI26" s="376"/>
      <c r="AJ26" s="376"/>
      <c r="AK26" s="376"/>
      <c r="AL26" s="376"/>
      <c r="AM26" s="377"/>
      <c r="AN26" s="431">
        <v>0</v>
      </c>
      <c r="AO26" s="432"/>
      <c r="AP26" s="432"/>
      <c r="AQ26" s="432"/>
      <c r="AR26" s="432"/>
      <c r="AS26" s="432"/>
      <c r="AT26" s="432"/>
      <c r="AU26" s="433"/>
      <c r="AV26" s="423">
        <v>0</v>
      </c>
      <c r="AW26" s="424"/>
      <c r="AX26" s="424"/>
      <c r="AY26" s="424"/>
      <c r="AZ26" s="424"/>
      <c r="BA26" s="424"/>
      <c r="BB26" s="424"/>
      <c r="BC26" s="425"/>
      <c r="BD26" s="375">
        <f t="shared" si="1"/>
        <v>0</v>
      </c>
      <c r="BE26" s="376"/>
      <c r="BF26" s="376"/>
      <c r="BG26" s="376"/>
      <c r="BH26" s="376"/>
      <c r="BI26" s="376"/>
      <c r="BJ26" s="376"/>
      <c r="BK26" s="377"/>
      <c r="BL26" s="174"/>
      <c r="BM26" s="176"/>
      <c r="CA26" s="177" t="s">
        <v>173</v>
      </c>
      <c r="CD26" s="177" t="s">
        <v>174</v>
      </c>
      <c r="CQ26" s="87"/>
      <c r="CR26" s="87"/>
      <c r="CS26" s="87"/>
      <c r="CT26" s="87"/>
      <c r="CU26" s="87"/>
      <c r="CV26" s="87"/>
      <c r="CW26" s="87"/>
    </row>
    <row r="27" spans="1:101" s="177" customFormat="1" outlineLevel="3">
      <c r="A27" s="174"/>
      <c r="B27" s="352">
        <v>8</v>
      </c>
      <c r="C27" s="353"/>
      <c r="D27" s="404"/>
      <c r="E27" s="405"/>
      <c r="F27" s="405"/>
      <c r="G27" s="405"/>
      <c r="H27" s="405"/>
      <c r="I27" s="405"/>
      <c r="J27" s="405"/>
      <c r="K27" s="405"/>
      <c r="L27" s="405"/>
      <c r="M27" s="405"/>
      <c r="N27" s="405"/>
      <c r="O27" s="406"/>
      <c r="P27" s="431"/>
      <c r="Q27" s="432"/>
      <c r="R27" s="432"/>
      <c r="S27" s="432"/>
      <c r="T27" s="432"/>
      <c r="U27" s="432"/>
      <c r="V27" s="432"/>
      <c r="W27" s="433"/>
      <c r="X27" s="423">
        <v>1</v>
      </c>
      <c r="Y27" s="424"/>
      <c r="Z27" s="424"/>
      <c r="AA27" s="424"/>
      <c r="AB27" s="424"/>
      <c r="AC27" s="424"/>
      <c r="AD27" s="424"/>
      <c r="AE27" s="425"/>
      <c r="AF27" s="375">
        <f t="shared" si="0"/>
        <v>0</v>
      </c>
      <c r="AG27" s="376"/>
      <c r="AH27" s="376"/>
      <c r="AI27" s="376"/>
      <c r="AJ27" s="376"/>
      <c r="AK27" s="376"/>
      <c r="AL27" s="376"/>
      <c r="AM27" s="377"/>
      <c r="AN27" s="431">
        <v>0</v>
      </c>
      <c r="AO27" s="432"/>
      <c r="AP27" s="432"/>
      <c r="AQ27" s="432"/>
      <c r="AR27" s="432"/>
      <c r="AS27" s="432"/>
      <c r="AT27" s="432"/>
      <c r="AU27" s="433"/>
      <c r="AV27" s="423">
        <v>0</v>
      </c>
      <c r="AW27" s="424"/>
      <c r="AX27" s="424"/>
      <c r="AY27" s="424"/>
      <c r="AZ27" s="424"/>
      <c r="BA27" s="424"/>
      <c r="BB27" s="424"/>
      <c r="BC27" s="425"/>
      <c r="BD27" s="375">
        <f t="shared" si="1"/>
        <v>0</v>
      </c>
      <c r="BE27" s="376"/>
      <c r="BF27" s="376"/>
      <c r="BG27" s="376"/>
      <c r="BH27" s="376"/>
      <c r="BI27" s="376"/>
      <c r="BJ27" s="376"/>
      <c r="BK27" s="377"/>
      <c r="BL27" s="174"/>
      <c r="BM27" s="176"/>
      <c r="CA27" s="177" t="s">
        <v>175</v>
      </c>
      <c r="CQ27" s="87"/>
      <c r="CR27" s="87"/>
      <c r="CS27" s="87"/>
      <c r="CT27" s="87"/>
      <c r="CU27" s="87"/>
      <c r="CV27" s="87"/>
      <c r="CW27" s="87"/>
    </row>
    <row r="28" spans="1:101" s="177" customFormat="1" outlineLevel="3">
      <c r="A28" s="174"/>
      <c r="B28" s="352">
        <v>9</v>
      </c>
      <c r="C28" s="353"/>
      <c r="D28" s="404"/>
      <c r="E28" s="405"/>
      <c r="F28" s="405"/>
      <c r="G28" s="405"/>
      <c r="H28" s="405"/>
      <c r="I28" s="405"/>
      <c r="J28" s="405"/>
      <c r="K28" s="405"/>
      <c r="L28" s="405"/>
      <c r="M28" s="405"/>
      <c r="N28" s="405"/>
      <c r="O28" s="406"/>
      <c r="P28" s="431"/>
      <c r="Q28" s="432"/>
      <c r="R28" s="432"/>
      <c r="S28" s="432"/>
      <c r="T28" s="432"/>
      <c r="U28" s="432"/>
      <c r="V28" s="432"/>
      <c r="W28" s="433"/>
      <c r="X28" s="423">
        <v>1</v>
      </c>
      <c r="Y28" s="424"/>
      <c r="Z28" s="424"/>
      <c r="AA28" s="424"/>
      <c r="AB28" s="424"/>
      <c r="AC28" s="424"/>
      <c r="AD28" s="424"/>
      <c r="AE28" s="425"/>
      <c r="AF28" s="375">
        <f t="shared" si="0"/>
        <v>0</v>
      </c>
      <c r="AG28" s="376"/>
      <c r="AH28" s="376"/>
      <c r="AI28" s="376"/>
      <c r="AJ28" s="376"/>
      <c r="AK28" s="376"/>
      <c r="AL28" s="376"/>
      <c r="AM28" s="377"/>
      <c r="AN28" s="431">
        <v>0</v>
      </c>
      <c r="AO28" s="432"/>
      <c r="AP28" s="432"/>
      <c r="AQ28" s="432"/>
      <c r="AR28" s="432"/>
      <c r="AS28" s="432"/>
      <c r="AT28" s="432"/>
      <c r="AU28" s="433"/>
      <c r="AV28" s="423">
        <v>0</v>
      </c>
      <c r="AW28" s="424"/>
      <c r="AX28" s="424"/>
      <c r="AY28" s="424"/>
      <c r="AZ28" s="424"/>
      <c r="BA28" s="424"/>
      <c r="BB28" s="424"/>
      <c r="BC28" s="425"/>
      <c r="BD28" s="375">
        <f t="shared" si="1"/>
        <v>0</v>
      </c>
      <c r="BE28" s="376"/>
      <c r="BF28" s="376"/>
      <c r="BG28" s="376"/>
      <c r="BH28" s="376"/>
      <c r="BI28" s="376"/>
      <c r="BJ28" s="376"/>
      <c r="BK28" s="377"/>
      <c r="BL28" s="174"/>
      <c r="BM28" s="176"/>
      <c r="CA28" s="177" t="s">
        <v>176</v>
      </c>
      <c r="CQ28" s="87"/>
      <c r="CR28" s="87"/>
      <c r="CS28" s="87"/>
      <c r="CT28" s="87"/>
      <c r="CU28" s="87"/>
      <c r="CV28" s="87"/>
      <c r="CW28" s="87"/>
    </row>
    <row r="29" spans="1:101" s="177" customFormat="1" outlineLevel="3">
      <c r="A29" s="174"/>
      <c r="B29" s="352">
        <v>10</v>
      </c>
      <c r="C29" s="353"/>
      <c r="D29" s="404"/>
      <c r="E29" s="405"/>
      <c r="F29" s="405"/>
      <c r="G29" s="405"/>
      <c r="H29" s="405"/>
      <c r="I29" s="405"/>
      <c r="J29" s="405"/>
      <c r="K29" s="405"/>
      <c r="L29" s="405"/>
      <c r="M29" s="405"/>
      <c r="N29" s="405"/>
      <c r="O29" s="406"/>
      <c r="P29" s="431"/>
      <c r="Q29" s="432"/>
      <c r="R29" s="432"/>
      <c r="S29" s="432"/>
      <c r="T29" s="432"/>
      <c r="U29" s="432"/>
      <c r="V29" s="432"/>
      <c r="W29" s="433"/>
      <c r="X29" s="423">
        <v>1</v>
      </c>
      <c r="Y29" s="424"/>
      <c r="Z29" s="424"/>
      <c r="AA29" s="424"/>
      <c r="AB29" s="424"/>
      <c r="AC29" s="424"/>
      <c r="AD29" s="424"/>
      <c r="AE29" s="425"/>
      <c r="AF29" s="375">
        <f t="shared" si="0"/>
        <v>0</v>
      </c>
      <c r="AG29" s="376"/>
      <c r="AH29" s="376"/>
      <c r="AI29" s="376"/>
      <c r="AJ29" s="376"/>
      <c r="AK29" s="376"/>
      <c r="AL29" s="376"/>
      <c r="AM29" s="377"/>
      <c r="AN29" s="431">
        <v>0</v>
      </c>
      <c r="AO29" s="432"/>
      <c r="AP29" s="432"/>
      <c r="AQ29" s="432"/>
      <c r="AR29" s="432"/>
      <c r="AS29" s="432"/>
      <c r="AT29" s="432"/>
      <c r="AU29" s="433"/>
      <c r="AV29" s="423">
        <v>0</v>
      </c>
      <c r="AW29" s="424"/>
      <c r="AX29" s="424"/>
      <c r="AY29" s="424"/>
      <c r="AZ29" s="424"/>
      <c r="BA29" s="424"/>
      <c r="BB29" s="424"/>
      <c r="BC29" s="425"/>
      <c r="BD29" s="375">
        <f t="shared" si="1"/>
        <v>0</v>
      </c>
      <c r="BE29" s="376"/>
      <c r="BF29" s="376"/>
      <c r="BG29" s="376"/>
      <c r="BH29" s="376"/>
      <c r="BI29" s="376"/>
      <c r="BJ29" s="376"/>
      <c r="BK29" s="377"/>
      <c r="BL29" s="174"/>
      <c r="BM29" s="176"/>
      <c r="CA29" s="177" t="s">
        <v>177</v>
      </c>
      <c r="CQ29" s="87"/>
      <c r="CR29" s="87"/>
      <c r="CS29" s="87"/>
      <c r="CT29" s="87"/>
      <c r="CU29" s="87"/>
      <c r="CV29" s="87"/>
      <c r="CW29" s="87"/>
    </row>
    <row r="30" spans="1:101" s="177" customFormat="1" ht="6.95" customHeight="1" outlineLevel="2">
      <c r="A30" s="174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  <c r="AH30" s="174"/>
      <c r="AI30" s="174"/>
      <c r="AJ30" s="174"/>
      <c r="AK30" s="174"/>
      <c r="AL30" s="174"/>
      <c r="AM30" s="174"/>
      <c r="AN30" s="174"/>
      <c r="AO30" s="174"/>
      <c r="AP30" s="174"/>
      <c r="AQ30" s="174"/>
      <c r="AR30" s="174"/>
      <c r="AS30" s="174"/>
      <c r="AT30" s="174"/>
      <c r="AU30" s="174"/>
      <c r="AV30" s="174"/>
      <c r="AW30" s="174"/>
      <c r="AX30" s="174"/>
      <c r="AY30" s="174"/>
      <c r="AZ30" s="174"/>
      <c r="BA30" s="174"/>
      <c r="BB30" s="174"/>
      <c r="BC30" s="174"/>
      <c r="BD30" s="174"/>
      <c r="BE30" s="174"/>
      <c r="BF30" s="174"/>
      <c r="BG30" s="174"/>
      <c r="BH30" s="174"/>
      <c r="BI30" s="174"/>
      <c r="BJ30" s="174"/>
      <c r="BK30" s="174"/>
      <c r="BL30" s="174"/>
      <c r="BM30" s="176"/>
      <c r="CQ30" s="87"/>
      <c r="CR30" s="87"/>
      <c r="CS30" s="87"/>
      <c r="CT30" s="87"/>
      <c r="CU30" s="87"/>
      <c r="CV30" s="87"/>
      <c r="CW30" s="87"/>
    </row>
    <row r="31" spans="1:101" s="177" customFormat="1" outlineLevel="2">
      <c r="A31" s="174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L31" s="174"/>
      <c r="M31" s="174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383" t="s">
        <v>178</v>
      </c>
      <c r="AC31" s="383"/>
      <c r="AD31" s="383"/>
      <c r="AE31" s="384" t="str">
        <f>B17</f>
        <v>1.1.1. Gastos Administrativos de Oficina de Campo</v>
      </c>
      <c r="AF31" s="384"/>
      <c r="AG31" s="384"/>
      <c r="AH31" s="384"/>
      <c r="AI31" s="384"/>
      <c r="AJ31" s="384"/>
      <c r="AK31" s="384"/>
      <c r="AL31" s="384"/>
      <c r="AM31" s="384"/>
      <c r="AN31" s="384"/>
      <c r="AO31" s="384"/>
      <c r="AP31" s="384"/>
      <c r="AQ31" s="384"/>
      <c r="AR31" s="384"/>
      <c r="AS31" s="384"/>
      <c r="AT31" s="384"/>
      <c r="AU31" s="384"/>
      <c r="AV31" s="414">
        <f>SUM(BD20:BK29)</f>
        <v>151875</v>
      </c>
      <c r="AW31" s="414"/>
      <c r="AX31" s="414"/>
      <c r="AY31" s="414"/>
      <c r="AZ31" s="414"/>
      <c r="BA31" s="414"/>
      <c r="BB31" s="414"/>
      <c r="BC31" s="414"/>
      <c r="BD31" s="387">
        <f>AV31/$AW$215</f>
        <v>1.6807169764491089E-2</v>
      </c>
      <c r="BE31" s="387"/>
      <c r="BF31" s="387"/>
      <c r="BG31" s="387"/>
      <c r="BH31" s="387"/>
      <c r="BI31" s="387" t="s">
        <v>179</v>
      </c>
      <c r="BJ31" s="387"/>
      <c r="BK31" s="387"/>
      <c r="BL31" s="174"/>
      <c r="BM31" s="176"/>
      <c r="CQ31" s="87"/>
      <c r="CR31" s="87"/>
      <c r="CS31" s="87"/>
      <c r="CT31" s="87"/>
      <c r="CU31" s="87"/>
      <c r="CV31" s="87"/>
      <c r="CW31" s="87"/>
    </row>
    <row r="32" spans="1:101" s="177" customFormat="1" ht="6.95" customHeight="1" outlineLevel="2">
      <c r="A32" s="174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  <c r="AD32" s="174"/>
      <c r="AE32" s="174"/>
      <c r="AF32" s="174"/>
      <c r="AG32" s="174"/>
      <c r="AH32" s="174"/>
      <c r="AI32" s="174"/>
      <c r="AJ32" s="174"/>
      <c r="AK32" s="174"/>
      <c r="AL32" s="174"/>
      <c r="AM32" s="174"/>
      <c r="AN32" s="174"/>
      <c r="AO32" s="174"/>
      <c r="AP32" s="174"/>
      <c r="AQ32" s="174"/>
      <c r="AR32" s="174"/>
      <c r="AS32" s="174"/>
      <c r="AT32" s="174"/>
      <c r="AU32" s="174"/>
      <c r="AV32" s="174"/>
      <c r="AW32" s="174"/>
      <c r="AX32" s="174"/>
      <c r="AY32" s="174"/>
      <c r="AZ32" s="174"/>
      <c r="BA32" s="174"/>
      <c r="BB32" s="174"/>
      <c r="BC32" s="174"/>
      <c r="BD32" s="174"/>
      <c r="BE32" s="174"/>
      <c r="BF32" s="174"/>
      <c r="BG32" s="174"/>
      <c r="BH32" s="174"/>
      <c r="BI32" s="174"/>
      <c r="BJ32" s="174"/>
      <c r="BK32" s="174"/>
      <c r="BL32" s="174"/>
      <c r="BM32" s="176"/>
      <c r="CQ32" s="87"/>
      <c r="CR32" s="87"/>
      <c r="CS32" s="87"/>
      <c r="CT32" s="87"/>
      <c r="CU32" s="87"/>
      <c r="CV32" s="87"/>
      <c r="CW32" s="87"/>
    </row>
    <row r="33" spans="1:101" s="177" customFormat="1" outlineLevel="2">
      <c r="A33" s="174"/>
      <c r="B33" s="185" t="s">
        <v>180</v>
      </c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174"/>
      <c r="AG33" s="174"/>
      <c r="AH33" s="174"/>
      <c r="AI33" s="174"/>
      <c r="AJ33" s="174"/>
      <c r="AK33" s="174"/>
      <c r="AL33" s="174"/>
      <c r="AM33" s="174"/>
      <c r="AN33" s="174"/>
      <c r="AO33" s="174"/>
      <c r="AP33" s="174"/>
      <c r="AQ33" s="174"/>
      <c r="AR33" s="174"/>
      <c r="AS33" s="174"/>
      <c r="AT33" s="174"/>
      <c r="AU33" s="174"/>
      <c r="AV33" s="174"/>
      <c r="AW33" s="174"/>
      <c r="AX33" s="174"/>
      <c r="AY33" s="174"/>
      <c r="AZ33" s="174"/>
      <c r="BA33" s="174"/>
      <c r="BB33" s="174"/>
      <c r="BC33" s="174"/>
      <c r="BD33" s="174"/>
      <c r="BE33" s="174"/>
      <c r="BF33" s="174"/>
      <c r="BG33" s="174"/>
      <c r="BH33" s="174"/>
      <c r="BI33" s="174"/>
      <c r="BJ33" s="174"/>
      <c r="BK33" s="174"/>
      <c r="BL33" s="174"/>
      <c r="BM33" s="176"/>
      <c r="CQ33" s="87"/>
      <c r="CR33" s="87"/>
      <c r="CS33" s="87"/>
      <c r="CT33" s="87"/>
      <c r="CU33" s="87"/>
      <c r="CV33" s="87"/>
      <c r="CW33" s="87"/>
    </row>
    <row r="34" spans="1:101" s="177" customFormat="1" ht="6.95" customHeight="1" outlineLevel="3">
      <c r="A34" s="174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  <c r="AD34" s="174"/>
      <c r="AE34" s="174"/>
      <c r="AF34" s="174"/>
      <c r="AG34" s="174"/>
      <c r="AH34" s="174"/>
      <c r="AI34" s="174"/>
      <c r="AJ34" s="174"/>
      <c r="AK34" s="174"/>
      <c r="AL34" s="174"/>
      <c r="AM34" s="174"/>
      <c r="AN34" s="174"/>
      <c r="AO34" s="174"/>
      <c r="AP34" s="174"/>
      <c r="AQ34" s="174"/>
      <c r="AR34" s="174"/>
      <c r="AS34" s="174"/>
      <c r="AT34" s="174"/>
      <c r="AU34" s="174"/>
      <c r="AV34" s="174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6"/>
      <c r="CQ34" s="87"/>
      <c r="CR34" s="87"/>
      <c r="CS34" s="87"/>
      <c r="CT34" s="87"/>
      <c r="CU34" s="87"/>
      <c r="CV34" s="87"/>
      <c r="CW34" s="87"/>
    </row>
    <row r="35" spans="1:101" s="177" customFormat="1" outlineLevel="3">
      <c r="A35" s="174"/>
      <c r="B35" s="378" t="s">
        <v>153</v>
      </c>
      <c r="C35" s="379"/>
      <c r="D35" s="378" t="s">
        <v>21</v>
      </c>
      <c r="E35" s="380"/>
      <c r="F35" s="380"/>
      <c r="G35" s="380"/>
      <c r="H35" s="380"/>
      <c r="I35" s="380"/>
      <c r="J35" s="380"/>
      <c r="K35" s="380"/>
      <c r="L35" s="380"/>
      <c r="M35" s="380"/>
      <c r="N35" s="380"/>
      <c r="O35" s="379"/>
      <c r="P35" s="378" t="s">
        <v>154</v>
      </c>
      <c r="Q35" s="380"/>
      <c r="R35" s="380"/>
      <c r="S35" s="380"/>
      <c r="T35" s="380"/>
      <c r="U35" s="380"/>
      <c r="V35" s="380"/>
      <c r="W35" s="379"/>
      <c r="X35" s="378" t="s">
        <v>155</v>
      </c>
      <c r="Y35" s="380"/>
      <c r="Z35" s="380"/>
      <c r="AA35" s="380"/>
      <c r="AB35" s="380"/>
      <c r="AC35" s="380"/>
      <c r="AD35" s="380"/>
      <c r="AE35" s="379"/>
      <c r="AF35" s="378" t="s">
        <v>156</v>
      </c>
      <c r="AG35" s="380"/>
      <c r="AH35" s="380"/>
      <c r="AI35" s="380"/>
      <c r="AJ35" s="380"/>
      <c r="AK35" s="380"/>
      <c r="AL35" s="380"/>
      <c r="AM35" s="379"/>
      <c r="AN35" s="378" t="s">
        <v>157</v>
      </c>
      <c r="AO35" s="380"/>
      <c r="AP35" s="380"/>
      <c r="AQ35" s="380"/>
      <c r="AR35" s="380"/>
      <c r="AS35" s="380"/>
      <c r="AT35" s="380"/>
      <c r="AU35" s="379"/>
      <c r="AV35" s="378" t="s">
        <v>158</v>
      </c>
      <c r="AW35" s="380"/>
      <c r="AX35" s="380"/>
      <c r="AY35" s="380"/>
      <c r="AZ35" s="380"/>
      <c r="BA35" s="380"/>
      <c r="BB35" s="380"/>
      <c r="BC35" s="379"/>
      <c r="BD35" s="378" t="s">
        <v>62</v>
      </c>
      <c r="BE35" s="380"/>
      <c r="BF35" s="380"/>
      <c r="BG35" s="380"/>
      <c r="BH35" s="380"/>
      <c r="BI35" s="380"/>
      <c r="BJ35" s="380"/>
      <c r="BK35" s="379"/>
      <c r="BL35" s="174"/>
      <c r="BM35" s="176"/>
      <c r="CQ35" s="87"/>
      <c r="CR35" s="87"/>
      <c r="CS35" s="87"/>
      <c r="CT35" s="87"/>
      <c r="CU35" s="87"/>
      <c r="CV35" s="87"/>
      <c r="CW35" s="87"/>
    </row>
    <row r="36" spans="1:101" s="177" customFormat="1" outlineLevel="3">
      <c r="A36" s="174"/>
      <c r="B36" s="430">
        <v>1</v>
      </c>
      <c r="C36" s="430"/>
      <c r="D36" s="388" t="s">
        <v>160</v>
      </c>
      <c r="E36" s="388"/>
      <c r="F36" s="388"/>
      <c r="G36" s="388"/>
      <c r="H36" s="388"/>
      <c r="I36" s="388"/>
      <c r="J36" s="388"/>
      <c r="K36" s="388"/>
      <c r="L36" s="388"/>
      <c r="M36" s="388"/>
      <c r="N36" s="388"/>
      <c r="O36" s="388"/>
      <c r="P36" s="431">
        <v>20000</v>
      </c>
      <c r="Q36" s="432"/>
      <c r="R36" s="432"/>
      <c r="S36" s="432"/>
      <c r="T36" s="432"/>
      <c r="U36" s="432"/>
      <c r="V36" s="432"/>
      <c r="W36" s="433"/>
      <c r="X36" s="434">
        <v>1</v>
      </c>
      <c r="Y36" s="435"/>
      <c r="Z36" s="435"/>
      <c r="AA36" s="435"/>
      <c r="AB36" s="435"/>
      <c r="AC36" s="435"/>
      <c r="AD36" s="435"/>
      <c r="AE36" s="436"/>
      <c r="AF36" s="375">
        <v>20000</v>
      </c>
      <c r="AG36" s="376"/>
      <c r="AH36" s="376"/>
      <c r="AI36" s="376"/>
      <c r="AJ36" s="376"/>
      <c r="AK36" s="376"/>
      <c r="AL36" s="376"/>
      <c r="AM36" s="377"/>
      <c r="AN36" s="431">
        <v>0</v>
      </c>
      <c r="AO36" s="432"/>
      <c r="AP36" s="432"/>
      <c r="AQ36" s="432"/>
      <c r="AR36" s="432"/>
      <c r="AS36" s="432"/>
      <c r="AT36" s="432"/>
      <c r="AU36" s="433"/>
      <c r="AV36" s="423">
        <v>2</v>
      </c>
      <c r="AW36" s="424"/>
      <c r="AX36" s="424"/>
      <c r="AY36" s="424"/>
      <c r="AZ36" s="424"/>
      <c r="BA36" s="424"/>
      <c r="BB36" s="424"/>
      <c r="BC36" s="425"/>
      <c r="BD36" s="375">
        <f t="shared" ref="BD36:BD45" si="2">(AF36+AN36)*AV36</f>
        <v>40000</v>
      </c>
      <c r="BE36" s="376"/>
      <c r="BF36" s="376"/>
      <c r="BG36" s="376"/>
      <c r="BH36" s="376"/>
      <c r="BI36" s="376"/>
      <c r="BJ36" s="376"/>
      <c r="BK36" s="377"/>
      <c r="BL36" s="174"/>
      <c r="BM36" s="176"/>
      <c r="CQ36" s="87"/>
      <c r="CR36" s="87"/>
      <c r="CS36" s="87"/>
      <c r="CT36" s="87"/>
      <c r="CU36" s="87"/>
      <c r="CV36" s="87"/>
      <c r="CW36" s="87"/>
    </row>
    <row r="37" spans="1:101" s="177" customFormat="1" outlineLevel="3">
      <c r="A37" s="174"/>
      <c r="B37" s="430">
        <v>2</v>
      </c>
      <c r="C37" s="430"/>
      <c r="D37" s="388" t="s">
        <v>167</v>
      </c>
      <c r="E37" s="388"/>
      <c r="F37" s="388"/>
      <c r="G37" s="388"/>
      <c r="H37" s="388"/>
      <c r="I37" s="388"/>
      <c r="J37" s="388"/>
      <c r="K37" s="388"/>
      <c r="L37" s="388"/>
      <c r="M37" s="388"/>
      <c r="N37" s="388"/>
      <c r="O37" s="388"/>
      <c r="P37" s="431">
        <v>16000</v>
      </c>
      <c r="Q37" s="432"/>
      <c r="R37" s="432"/>
      <c r="S37" s="432"/>
      <c r="T37" s="432"/>
      <c r="U37" s="432"/>
      <c r="V37" s="432"/>
      <c r="W37" s="433"/>
      <c r="X37" s="434">
        <v>1</v>
      </c>
      <c r="Y37" s="435"/>
      <c r="Z37" s="435"/>
      <c r="AA37" s="435"/>
      <c r="AB37" s="435"/>
      <c r="AC37" s="435"/>
      <c r="AD37" s="435"/>
      <c r="AE37" s="436"/>
      <c r="AF37" s="375">
        <v>16000</v>
      </c>
      <c r="AG37" s="376"/>
      <c r="AH37" s="376"/>
      <c r="AI37" s="376"/>
      <c r="AJ37" s="376"/>
      <c r="AK37" s="376"/>
      <c r="AL37" s="376"/>
      <c r="AM37" s="377"/>
      <c r="AN37" s="431">
        <v>0</v>
      </c>
      <c r="AO37" s="432"/>
      <c r="AP37" s="432"/>
      <c r="AQ37" s="432"/>
      <c r="AR37" s="432"/>
      <c r="AS37" s="432"/>
      <c r="AT37" s="432"/>
      <c r="AU37" s="433"/>
      <c r="AV37" s="423">
        <v>2</v>
      </c>
      <c r="AW37" s="424"/>
      <c r="AX37" s="424"/>
      <c r="AY37" s="424"/>
      <c r="AZ37" s="424"/>
      <c r="BA37" s="424"/>
      <c r="BB37" s="424"/>
      <c r="BC37" s="425"/>
      <c r="BD37" s="375">
        <f t="shared" si="2"/>
        <v>32000</v>
      </c>
      <c r="BE37" s="376"/>
      <c r="BF37" s="376"/>
      <c r="BG37" s="376"/>
      <c r="BH37" s="376"/>
      <c r="BI37" s="376"/>
      <c r="BJ37" s="376"/>
      <c r="BK37" s="377"/>
      <c r="BL37" s="174"/>
      <c r="BM37" s="176"/>
      <c r="CQ37" s="87"/>
      <c r="CR37" s="87"/>
      <c r="CS37" s="87"/>
      <c r="CT37" s="87"/>
      <c r="CU37" s="87"/>
      <c r="CV37" s="87"/>
      <c r="CW37" s="87"/>
    </row>
    <row r="38" spans="1:101" s="177" customFormat="1" outlineLevel="3">
      <c r="A38" s="174"/>
      <c r="B38" s="430">
        <v>3</v>
      </c>
      <c r="C38" s="430"/>
      <c r="D38" s="388" t="s">
        <v>168</v>
      </c>
      <c r="E38" s="388"/>
      <c r="F38" s="388"/>
      <c r="G38" s="388"/>
      <c r="H38" s="388"/>
      <c r="I38" s="388"/>
      <c r="J38" s="388"/>
      <c r="K38" s="388"/>
      <c r="L38" s="388"/>
      <c r="M38" s="388"/>
      <c r="N38" s="388"/>
      <c r="O38" s="388"/>
      <c r="P38" s="431">
        <v>20000</v>
      </c>
      <c r="Q38" s="432"/>
      <c r="R38" s="432"/>
      <c r="S38" s="432"/>
      <c r="T38" s="432"/>
      <c r="U38" s="432"/>
      <c r="V38" s="432"/>
      <c r="W38" s="433"/>
      <c r="X38" s="434">
        <v>1</v>
      </c>
      <c r="Y38" s="435"/>
      <c r="Z38" s="435"/>
      <c r="AA38" s="435"/>
      <c r="AB38" s="435"/>
      <c r="AC38" s="435"/>
      <c r="AD38" s="435"/>
      <c r="AE38" s="436"/>
      <c r="AF38" s="375">
        <v>20000</v>
      </c>
      <c r="AG38" s="376"/>
      <c r="AH38" s="376"/>
      <c r="AI38" s="376"/>
      <c r="AJ38" s="376"/>
      <c r="AK38" s="376"/>
      <c r="AL38" s="376"/>
      <c r="AM38" s="377"/>
      <c r="AN38" s="431">
        <v>0</v>
      </c>
      <c r="AO38" s="432"/>
      <c r="AP38" s="432"/>
      <c r="AQ38" s="432"/>
      <c r="AR38" s="432"/>
      <c r="AS38" s="432"/>
      <c r="AT38" s="432"/>
      <c r="AU38" s="433"/>
      <c r="AV38" s="423">
        <v>2</v>
      </c>
      <c r="AW38" s="424"/>
      <c r="AX38" s="424"/>
      <c r="AY38" s="424"/>
      <c r="AZ38" s="424"/>
      <c r="BA38" s="424"/>
      <c r="BB38" s="424"/>
      <c r="BC38" s="425"/>
      <c r="BD38" s="375">
        <f t="shared" si="2"/>
        <v>40000</v>
      </c>
      <c r="BE38" s="376"/>
      <c r="BF38" s="376"/>
      <c r="BG38" s="376"/>
      <c r="BH38" s="376"/>
      <c r="BI38" s="376"/>
      <c r="BJ38" s="376"/>
      <c r="BK38" s="377"/>
      <c r="BL38" s="174"/>
      <c r="BM38" s="176"/>
      <c r="CQ38" s="87"/>
      <c r="CR38" s="87"/>
      <c r="CS38" s="87"/>
      <c r="CT38" s="87"/>
      <c r="CU38" s="87"/>
      <c r="CV38" s="87"/>
      <c r="CW38" s="87"/>
    </row>
    <row r="39" spans="1:101" s="177" customFormat="1" outlineLevel="3">
      <c r="A39" s="174"/>
      <c r="B39" s="430">
        <v>4</v>
      </c>
      <c r="C39" s="430"/>
      <c r="D39" s="388"/>
      <c r="E39" s="388"/>
      <c r="F39" s="388"/>
      <c r="G39" s="388"/>
      <c r="H39" s="388"/>
      <c r="I39" s="388"/>
      <c r="J39" s="388"/>
      <c r="K39" s="388"/>
      <c r="L39" s="388"/>
      <c r="M39" s="388"/>
      <c r="N39" s="388"/>
      <c r="O39" s="388"/>
      <c r="P39" s="431"/>
      <c r="Q39" s="432"/>
      <c r="R39" s="432"/>
      <c r="S39" s="432"/>
      <c r="T39" s="432"/>
      <c r="U39" s="432"/>
      <c r="V39" s="432"/>
      <c r="W39" s="433"/>
      <c r="X39" s="434"/>
      <c r="Y39" s="435"/>
      <c r="Z39" s="435"/>
      <c r="AA39" s="435"/>
      <c r="AB39" s="435"/>
      <c r="AC39" s="435"/>
      <c r="AD39" s="435"/>
      <c r="AE39" s="436"/>
      <c r="AF39" s="375">
        <f t="shared" ref="AF39:AF45" si="3">P39*X39</f>
        <v>0</v>
      </c>
      <c r="AG39" s="376"/>
      <c r="AH39" s="376"/>
      <c r="AI39" s="376"/>
      <c r="AJ39" s="376"/>
      <c r="AK39" s="376"/>
      <c r="AL39" s="376"/>
      <c r="AM39" s="377"/>
      <c r="AN39" s="431">
        <v>0</v>
      </c>
      <c r="AO39" s="432"/>
      <c r="AP39" s="432"/>
      <c r="AQ39" s="432"/>
      <c r="AR39" s="432"/>
      <c r="AS39" s="432"/>
      <c r="AT39" s="432"/>
      <c r="AU39" s="433"/>
      <c r="AV39" s="423">
        <v>0</v>
      </c>
      <c r="AW39" s="424"/>
      <c r="AX39" s="424"/>
      <c r="AY39" s="424"/>
      <c r="AZ39" s="424"/>
      <c r="BA39" s="424"/>
      <c r="BB39" s="424"/>
      <c r="BC39" s="425"/>
      <c r="BD39" s="375">
        <f t="shared" si="2"/>
        <v>0</v>
      </c>
      <c r="BE39" s="376"/>
      <c r="BF39" s="376"/>
      <c r="BG39" s="376"/>
      <c r="BH39" s="376"/>
      <c r="BI39" s="376"/>
      <c r="BJ39" s="376"/>
      <c r="BK39" s="377"/>
      <c r="BL39" s="174"/>
      <c r="BM39" s="176"/>
      <c r="CQ39" s="87"/>
      <c r="CR39" s="87"/>
      <c r="CS39" s="87"/>
      <c r="CT39" s="87"/>
      <c r="CU39" s="87"/>
      <c r="CV39" s="87"/>
      <c r="CW39" s="87"/>
    </row>
    <row r="40" spans="1:101" s="177" customFormat="1" outlineLevel="3">
      <c r="A40" s="174"/>
      <c r="B40" s="430">
        <v>5</v>
      </c>
      <c r="C40" s="430"/>
      <c r="D40" s="388"/>
      <c r="E40" s="388"/>
      <c r="F40" s="388"/>
      <c r="G40" s="388"/>
      <c r="H40" s="388"/>
      <c r="I40" s="388"/>
      <c r="J40" s="388"/>
      <c r="K40" s="388"/>
      <c r="L40" s="388"/>
      <c r="M40" s="388"/>
      <c r="N40" s="388"/>
      <c r="O40" s="388"/>
      <c r="P40" s="431"/>
      <c r="Q40" s="432"/>
      <c r="R40" s="432"/>
      <c r="S40" s="432"/>
      <c r="T40" s="432"/>
      <c r="U40" s="432"/>
      <c r="V40" s="432"/>
      <c r="W40" s="433"/>
      <c r="X40" s="434"/>
      <c r="Y40" s="435"/>
      <c r="Z40" s="435"/>
      <c r="AA40" s="435"/>
      <c r="AB40" s="435"/>
      <c r="AC40" s="435"/>
      <c r="AD40" s="435"/>
      <c r="AE40" s="436"/>
      <c r="AF40" s="375">
        <f t="shared" si="3"/>
        <v>0</v>
      </c>
      <c r="AG40" s="376"/>
      <c r="AH40" s="376"/>
      <c r="AI40" s="376"/>
      <c r="AJ40" s="376"/>
      <c r="AK40" s="376"/>
      <c r="AL40" s="376"/>
      <c r="AM40" s="377"/>
      <c r="AN40" s="431">
        <v>0</v>
      </c>
      <c r="AO40" s="432"/>
      <c r="AP40" s="432"/>
      <c r="AQ40" s="432"/>
      <c r="AR40" s="432"/>
      <c r="AS40" s="432"/>
      <c r="AT40" s="432"/>
      <c r="AU40" s="433"/>
      <c r="AV40" s="423">
        <v>0</v>
      </c>
      <c r="AW40" s="424"/>
      <c r="AX40" s="424"/>
      <c r="AY40" s="424"/>
      <c r="AZ40" s="424"/>
      <c r="BA40" s="424"/>
      <c r="BB40" s="424"/>
      <c r="BC40" s="425"/>
      <c r="BD40" s="375">
        <f t="shared" si="2"/>
        <v>0</v>
      </c>
      <c r="BE40" s="376"/>
      <c r="BF40" s="376"/>
      <c r="BG40" s="376"/>
      <c r="BH40" s="376"/>
      <c r="BI40" s="376"/>
      <c r="BJ40" s="376"/>
      <c r="BK40" s="377"/>
      <c r="BL40" s="174"/>
      <c r="BM40" s="176"/>
      <c r="CQ40" s="87"/>
      <c r="CR40" s="87"/>
      <c r="CS40" s="87"/>
      <c r="CT40" s="87"/>
      <c r="CU40" s="87"/>
      <c r="CV40" s="87"/>
      <c r="CW40" s="87"/>
    </row>
    <row r="41" spans="1:101" s="177" customFormat="1" outlineLevel="3">
      <c r="A41" s="174"/>
      <c r="B41" s="430">
        <v>6</v>
      </c>
      <c r="C41" s="430"/>
      <c r="D41" s="388"/>
      <c r="E41" s="388"/>
      <c r="F41" s="388"/>
      <c r="G41" s="388"/>
      <c r="H41" s="388"/>
      <c r="I41" s="388"/>
      <c r="J41" s="388"/>
      <c r="K41" s="388"/>
      <c r="L41" s="388"/>
      <c r="M41" s="388"/>
      <c r="N41" s="388"/>
      <c r="O41" s="388"/>
      <c r="P41" s="431"/>
      <c r="Q41" s="432"/>
      <c r="R41" s="432"/>
      <c r="S41" s="432"/>
      <c r="T41" s="432"/>
      <c r="U41" s="432"/>
      <c r="V41" s="432"/>
      <c r="W41" s="433"/>
      <c r="X41" s="434"/>
      <c r="Y41" s="435"/>
      <c r="Z41" s="435"/>
      <c r="AA41" s="435"/>
      <c r="AB41" s="435"/>
      <c r="AC41" s="435"/>
      <c r="AD41" s="435"/>
      <c r="AE41" s="436"/>
      <c r="AF41" s="375">
        <f t="shared" si="3"/>
        <v>0</v>
      </c>
      <c r="AG41" s="376"/>
      <c r="AH41" s="376"/>
      <c r="AI41" s="376"/>
      <c r="AJ41" s="376"/>
      <c r="AK41" s="376"/>
      <c r="AL41" s="376"/>
      <c r="AM41" s="377"/>
      <c r="AN41" s="431">
        <v>0</v>
      </c>
      <c r="AO41" s="432"/>
      <c r="AP41" s="432"/>
      <c r="AQ41" s="432"/>
      <c r="AR41" s="432"/>
      <c r="AS41" s="432"/>
      <c r="AT41" s="432"/>
      <c r="AU41" s="433"/>
      <c r="AV41" s="423">
        <v>0</v>
      </c>
      <c r="AW41" s="424"/>
      <c r="AX41" s="424"/>
      <c r="AY41" s="424"/>
      <c r="AZ41" s="424"/>
      <c r="BA41" s="424"/>
      <c r="BB41" s="424"/>
      <c r="BC41" s="425"/>
      <c r="BD41" s="375">
        <f t="shared" si="2"/>
        <v>0</v>
      </c>
      <c r="BE41" s="376"/>
      <c r="BF41" s="376"/>
      <c r="BG41" s="376"/>
      <c r="BH41" s="376"/>
      <c r="BI41" s="376"/>
      <c r="BJ41" s="376"/>
      <c r="BK41" s="377"/>
      <c r="BL41" s="174"/>
      <c r="BM41" s="176"/>
      <c r="CQ41" s="87"/>
      <c r="CR41" s="87"/>
      <c r="CS41" s="87"/>
      <c r="CT41" s="87"/>
      <c r="CU41" s="87"/>
      <c r="CV41" s="87"/>
      <c r="CW41" s="87"/>
    </row>
    <row r="42" spans="1:101" s="177" customFormat="1" outlineLevel="3">
      <c r="A42" s="174"/>
      <c r="B42" s="430">
        <v>7</v>
      </c>
      <c r="C42" s="430"/>
      <c r="D42" s="388"/>
      <c r="E42" s="388"/>
      <c r="F42" s="388"/>
      <c r="G42" s="388"/>
      <c r="H42" s="388"/>
      <c r="I42" s="388"/>
      <c r="J42" s="388"/>
      <c r="K42" s="388"/>
      <c r="L42" s="388"/>
      <c r="M42" s="388"/>
      <c r="N42" s="388"/>
      <c r="O42" s="388"/>
      <c r="P42" s="431"/>
      <c r="Q42" s="432"/>
      <c r="R42" s="432"/>
      <c r="S42" s="432"/>
      <c r="T42" s="432"/>
      <c r="U42" s="432"/>
      <c r="V42" s="432"/>
      <c r="W42" s="433"/>
      <c r="X42" s="434"/>
      <c r="Y42" s="435"/>
      <c r="Z42" s="435"/>
      <c r="AA42" s="435"/>
      <c r="AB42" s="435"/>
      <c r="AC42" s="435"/>
      <c r="AD42" s="435"/>
      <c r="AE42" s="436"/>
      <c r="AF42" s="375">
        <f t="shared" si="3"/>
        <v>0</v>
      </c>
      <c r="AG42" s="376"/>
      <c r="AH42" s="376"/>
      <c r="AI42" s="376"/>
      <c r="AJ42" s="376"/>
      <c r="AK42" s="376"/>
      <c r="AL42" s="376"/>
      <c r="AM42" s="377"/>
      <c r="AN42" s="431">
        <v>0</v>
      </c>
      <c r="AO42" s="432"/>
      <c r="AP42" s="432"/>
      <c r="AQ42" s="432"/>
      <c r="AR42" s="432"/>
      <c r="AS42" s="432"/>
      <c r="AT42" s="432"/>
      <c r="AU42" s="433"/>
      <c r="AV42" s="423">
        <v>0</v>
      </c>
      <c r="AW42" s="424"/>
      <c r="AX42" s="424"/>
      <c r="AY42" s="424"/>
      <c r="AZ42" s="424"/>
      <c r="BA42" s="424"/>
      <c r="BB42" s="424"/>
      <c r="BC42" s="425"/>
      <c r="BD42" s="375">
        <f t="shared" si="2"/>
        <v>0</v>
      </c>
      <c r="BE42" s="376"/>
      <c r="BF42" s="376"/>
      <c r="BG42" s="376"/>
      <c r="BH42" s="376"/>
      <c r="BI42" s="376"/>
      <c r="BJ42" s="376"/>
      <c r="BK42" s="377"/>
      <c r="BL42" s="174"/>
      <c r="BM42" s="176"/>
      <c r="CQ42" s="87"/>
      <c r="CR42" s="87"/>
      <c r="CS42" s="87"/>
      <c r="CT42" s="87"/>
      <c r="CU42" s="87"/>
      <c r="CV42" s="87"/>
      <c r="CW42" s="87"/>
    </row>
    <row r="43" spans="1:101" s="177" customFormat="1" outlineLevel="3">
      <c r="A43" s="174"/>
      <c r="B43" s="430">
        <v>8</v>
      </c>
      <c r="C43" s="430"/>
      <c r="D43" s="388"/>
      <c r="E43" s="388"/>
      <c r="F43" s="388"/>
      <c r="G43" s="388"/>
      <c r="H43" s="388"/>
      <c r="I43" s="388"/>
      <c r="J43" s="388"/>
      <c r="K43" s="388"/>
      <c r="L43" s="388"/>
      <c r="M43" s="388"/>
      <c r="N43" s="388"/>
      <c r="O43" s="388"/>
      <c r="P43" s="431"/>
      <c r="Q43" s="432"/>
      <c r="R43" s="432"/>
      <c r="S43" s="432"/>
      <c r="T43" s="432"/>
      <c r="U43" s="432"/>
      <c r="V43" s="432"/>
      <c r="W43" s="433"/>
      <c r="X43" s="434"/>
      <c r="Y43" s="435"/>
      <c r="Z43" s="435"/>
      <c r="AA43" s="435"/>
      <c r="AB43" s="435"/>
      <c r="AC43" s="435"/>
      <c r="AD43" s="435"/>
      <c r="AE43" s="436"/>
      <c r="AF43" s="375">
        <f t="shared" si="3"/>
        <v>0</v>
      </c>
      <c r="AG43" s="376"/>
      <c r="AH43" s="376"/>
      <c r="AI43" s="376"/>
      <c r="AJ43" s="376"/>
      <c r="AK43" s="376"/>
      <c r="AL43" s="376"/>
      <c r="AM43" s="377"/>
      <c r="AN43" s="431">
        <v>0</v>
      </c>
      <c r="AO43" s="432"/>
      <c r="AP43" s="432"/>
      <c r="AQ43" s="432"/>
      <c r="AR43" s="432"/>
      <c r="AS43" s="432"/>
      <c r="AT43" s="432"/>
      <c r="AU43" s="433"/>
      <c r="AV43" s="423">
        <v>0</v>
      </c>
      <c r="AW43" s="424"/>
      <c r="AX43" s="424"/>
      <c r="AY43" s="424"/>
      <c r="AZ43" s="424"/>
      <c r="BA43" s="424"/>
      <c r="BB43" s="424"/>
      <c r="BC43" s="425"/>
      <c r="BD43" s="375">
        <f t="shared" si="2"/>
        <v>0</v>
      </c>
      <c r="BE43" s="376"/>
      <c r="BF43" s="376"/>
      <c r="BG43" s="376"/>
      <c r="BH43" s="376"/>
      <c r="BI43" s="376"/>
      <c r="BJ43" s="376"/>
      <c r="BK43" s="377"/>
      <c r="BL43" s="174"/>
      <c r="BM43" s="176"/>
      <c r="CQ43" s="87"/>
      <c r="CR43" s="87"/>
      <c r="CS43" s="87"/>
      <c r="CT43" s="87"/>
      <c r="CU43" s="87"/>
      <c r="CV43" s="87"/>
      <c r="CW43" s="87"/>
    </row>
    <row r="44" spans="1:101" s="177" customFormat="1" outlineLevel="3">
      <c r="A44" s="174"/>
      <c r="B44" s="430">
        <v>9</v>
      </c>
      <c r="C44" s="430"/>
      <c r="D44" s="388"/>
      <c r="E44" s="388"/>
      <c r="F44" s="388"/>
      <c r="G44" s="388"/>
      <c r="H44" s="388"/>
      <c r="I44" s="388"/>
      <c r="J44" s="388"/>
      <c r="K44" s="388"/>
      <c r="L44" s="388"/>
      <c r="M44" s="388"/>
      <c r="N44" s="388"/>
      <c r="O44" s="388"/>
      <c r="P44" s="431"/>
      <c r="Q44" s="432"/>
      <c r="R44" s="432"/>
      <c r="S44" s="432"/>
      <c r="T44" s="432"/>
      <c r="U44" s="432"/>
      <c r="V44" s="432"/>
      <c r="W44" s="433"/>
      <c r="X44" s="434"/>
      <c r="Y44" s="435"/>
      <c r="Z44" s="435"/>
      <c r="AA44" s="435"/>
      <c r="AB44" s="435"/>
      <c r="AC44" s="435"/>
      <c r="AD44" s="435"/>
      <c r="AE44" s="436"/>
      <c r="AF44" s="375">
        <f t="shared" si="3"/>
        <v>0</v>
      </c>
      <c r="AG44" s="376"/>
      <c r="AH44" s="376"/>
      <c r="AI44" s="376"/>
      <c r="AJ44" s="376"/>
      <c r="AK44" s="376"/>
      <c r="AL44" s="376"/>
      <c r="AM44" s="377"/>
      <c r="AN44" s="431">
        <v>0</v>
      </c>
      <c r="AO44" s="432"/>
      <c r="AP44" s="432"/>
      <c r="AQ44" s="432"/>
      <c r="AR44" s="432"/>
      <c r="AS44" s="432"/>
      <c r="AT44" s="432"/>
      <c r="AU44" s="433"/>
      <c r="AV44" s="423">
        <v>0</v>
      </c>
      <c r="AW44" s="424"/>
      <c r="AX44" s="424"/>
      <c r="AY44" s="424"/>
      <c r="AZ44" s="424"/>
      <c r="BA44" s="424"/>
      <c r="BB44" s="424"/>
      <c r="BC44" s="425"/>
      <c r="BD44" s="375">
        <f t="shared" si="2"/>
        <v>0</v>
      </c>
      <c r="BE44" s="376"/>
      <c r="BF44" s="376"/>
      <c r="BG44" s="376"/>
      <c r="BH44" s="376"/>
      <c r="BI44" s="376"/>
      <c r="BJ44" s="376"/>
      <c r="BK44" s="377"/>
      <c r="BL44" s="174"/>
      <c r="BM44" s="176"/>
      <c r="CQ44" s="87"/>
      <c r="CR44" s="87"/>
      <c r="CS44" s="87"/>
      <c r="CT44" s="87"/>
      <c r="CU44" s="87"/>
      <c r="CV44" s="87"/>
      <c r="CW44" s="87"/>
    </row>
    <row r="45" spans="1:101" s="177" customFormat="1" outlineLevel="3">
      <c r="A45" s="174"/>
      <c r="B45" s="430">
        <v>10</v>
      </c>
      <c r="C45" s="430"/>
      <c r="D45" s="388"/>
      <c r="E45" s="388"/>
      <c r="F45" s="388"/>
      <c r="G45" s="388"/>
      <c r="H45" s="388"/>
      <c r="I45" s="388"/>
      <c r="J45" s="388"/>
      <c r="K45" s="388"/>
      <c r="L45" s="388"/>
      <c r="M45" s="388"/>
      <c r="N45" s="388"/>
      <c r="O45" s="388"/>
      <c r="P45" s="431"/>
      <c r="Q45" s="432"/>
      <c r="R45" s="432"/>
      <c r="S45" s="432"/>
      <c r="T45" s="432"/>
      <c r="U45" s="432"/>
      <c r="V45" s="432"/>
      <c r="W45" s="433"/>
      <c r="X45" s="434"/>
      <c r="Y45" s="435"/>
      <c r="Z45" s="435"/>
      <c r="AA45" s="435"/>
      <c r="AB45" s="435"/>
      <c r="AC45" s="435"/>
      <c r="AD45" s="435"/>
      <c r="AE45" s="436"/>
      <c r="AF45" s="375">
        <f t="shared" si="3"/>
        <v>0</v>
      </c>
      <c r="AG45" s="376"/>
      <c r="AH45" s="376"/>
      <c r="AI45" s="376"/>
      <c r="AJ45" s="376"/>
      <c r="AK45" s="376"/>
      <c r="AL45" s="376"/>
      <c r="AM45" s="377"/>
      <c r="AN45" s="431">
        <v>0</v>
      </c>
      <c r="AO45" s="432"/>
      <c r="AP45" s="432"/>
      <c r="AQ45" s="432"/>
      <c r="AR45" s="432"/>
      <c r="AS45" s="432"/>
      <c r="AT45" s="432"/>
      <c r="AU45" s="433"/>
      <c r="AV45" s="423">
        <v>0</v>
      </c>
      <c r="AW45" s="424"/>
      <c r="AX45" s="424"/>
      <c r="AY45" s="424"/>
      <c r="AZ45" s="424"/>
      <c r="BA45" s="424"/>
      <c r="BB45" s="424"/>
      <c r="BC45" s="425"/>
      <c r="BD45" s="375">
        <f t="shared" si="2"/>
        <v>0</v>
      </c>
      <c r="BE45" s="376"/>
      <c r="BF45" s="376"/>
      <c r="BG45" s="376"/>
      <c r="BH45" s="376"/>
      <c r="BI45" s="376"/>
      <c r="BJ45" s="376"/>
      <c r="BK45" s="377"/>
      <c r="BL45" s="174"/>
      <c r="BM45" s="176"/>
      <c r="CQ45" s="87"/>
      <c r="CR45" s="87"/>
      <c r="CS45" s="87"/>
      <c r="CT45" s="87"/>
      <c r="CU45" s="87"/>
      <c r="CV45" s="87"/>
      <c r="CW45" s="87"/>
    </row>
    <row r="46" spans="1:101" s="177" customFormat="1" ht="6.95" customHeight="1" outlineLevel="2">
      <c r="A46" s="174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6"/>
      <c r="CQ46" s="87"/>
      <c r="CR46" s="87"/>
      <c r="CS46" s="87"/>
      <c r="CT46" s="87"/>
      <c r="CU46" s="87"/>
      <c r="CV46" s="87"/>
      <c r="CW46" s="87"/>
    </row>
    <row r="47" spans="1:101" s="177" customFormat="1" outlineLevel="2">
      <c r="A47" s="174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383" t="s">
        <v>178</v>
      </c>
      <c r="AC47" s="383"/>
      <c r="AD47" s="383"/>
      <c r="AE47" s="384" t="str">
        <f>B33</f>
        <v>1.1.2. Gastos Administrativos de Oficina Central</v>
      </c>
      <c r="AF47" s="384"/>
      <c r="AG47" s="384"/>
      <c r="AH47" s="384"/>
      <c r="AI47" s="384"/>
      <c r="AJ47" s="384"/>
      <c r="AK47" s="384"/>
      <c r="AL47" s="384"/>
      <c r="AM47" s="384"/>
      <c r="AN47" s="384"/>
      <c r="AO47" s="384"/>
      <c r="AP47" s="384"/>
      <c r="AQ47" s="384"/>
      <c r="AR47" s="384"/>
      <c r="AS47" s="384"/>
      <c r="AT47" s="384"/>
      <c r="AU47" s="384"/>
      <c r="AV47" s="414">
        <f>SUM(BD36:BK45)</f>
        <v>112000</v>
      </c>
      <c r="AW47" s="414"/>
      <c r="AX47" s="414"/>
      <c r="AY47" s="414"/>
      <c r="AZ47" s="414"/>
      <c r="BA47" s="414"/>
      <c r="BB47" s="414"/>
      <c r="BC47" s="414"/>
      <c r="BD47" s="387">
        <f>AV47/$AW$215</f>
        <v>1.2394423134966267E-2</v>
      </c>
      <c r="BE47" s="387"/>
      <c r="BF47" s="387"/>
      <c r="BG47" s="387"/>
      <c r="BH47" s="387"/>
      <c r="BI47" s="387" t="s">
        <v>179</v>
      </c>
      <c r="BJ47" s="387"/>
      <c r="BK47" s="387"/>
      <c r="BL47" s="174"/>
      <c r="BM47" s="176"/>
      <c r="CQ47" s="87"/>
      <c r="CR47" s="87"/>
      <c r="CS47" s="87"/>
      <c r="CT47" s="87"/>
      <c r="CU47" s="87"/>
      <c r="CV47" s="87"/>
      <c r="CW47" s="87"/>
    </row>
    <row r="48" spans="1:101" s="177" customFormat="1" ht="6.95" customHeight="1" outlineLevel="2">
      <c r="A48" s="174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  <c r="AH48" s="174"/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6"/>
      <c r="CQ48" s="87"/>
      <c r="CR48" s="87"/>
      <c r="CS48" s="87"/>
      <c r="CT48" s="87"/>
      <c r="CU48" s="87"/>
      <c r="CV48" s="87"/>
      <c r="CW48" s="87"/>
    </row>
    <row r="49" spans="1:101" s="177" customFormat="1" outlineLevel="2">
      <c r="A49" s="174"/>
      <c r="B49" s="185" t="s">
        <v>181</v>
      </c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  <c r="AD49" s="174"/>
      <c r="AE49" s="174"/>
      <c r="AF49" s="174"/>
      <c r="AG49" s="174"/>
      <c r="AH49" s="174"/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6"/>
      <c r="CQ49" s="87"/>
      <c r="CR49" s="87"/>
      <c r="CS49" s="87"/>
      <c r="CT49" s="87"/>
      <c r="CU49" s="87"/>
      <c r="CV49" s="87"/>
      <c r="CW49" s="87"/>
    </row>
    <row r="50" spans="1:101" s="177" customFormat="1" ht="6.95" customHeight="1" outlineLevel="3">
      <c r="A50" s="174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  <c r="AD50" s="174"/>
      <c r="AE50" s="174"/>
      <c r="AF50" s="174"/>
      <c r="AG50" s="174"/>
      <c r="AH50" s="174"/>
      <c r="AI50" s="174"/>
      <c r="AJ50" s="174"/>
      <c r="AK50" s="174"/>
      <c r="AL50" s="174"/>
      <c r="AM50" s="174"/>
      <c r="AN50" s="174"/>
      <c r="AO50" s="174"/>
      <c r="AP50" s="174"/>
      <c r="AQ50" s="174"/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6"/>
      <c r="CQ50" s="87"/>
      <c r="CR50" s="87"/>
      <c r="CS50" s="87"/>
      <c r="CT50" s="87"/>
      <c r="CU50" s="87"/>
      <c r="CV50" s="87"/>
      <c r="CW50" s="87"/>
    </row>
    <row r="51" spans="1:101" s="177" customFormat="1" outlineLevel="3">
      <c r="A51" s="174"/>
      <c r="B51" s="174"/>
      <c r="C51" s="174"/>
      <c r="D51" s="174"/>
      <c r="E51" s="174"/>
      <c r="F51" s="378" t="s">
        <v>153</v>
      </c>
      <c r="G51" s="379"/>
      <c r="H51" s="343" t="s">
        <v>21</v>
      </c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 t="s">
        <v>182</v>
      </c>
      <c r="U51" s="343"/>
      <c r="V51" s="343"/>
      <c r="W51" s="343"/>
      <c r="X51" s="343"/>
      <c r="Y51" s="343"/>
      <c r="Z51" s="343"/>
      <c r="AA51" s="343"/>
      <c r="AB51" s="343" t="s">
        <v>183</v>
      </c>
      <c r="AC51" s="343"/>
      <c r="AD51" s="343"/>
      <c r="AE51" s="343"/>
      <c r="AF51" s="343"/>
      <c r="AG51" s="343"/>
      <c r="AH51" s="343"/>
      <c r="AI51" s="343"/>
      <c r="AJ51" s="343" t="s">
        <v>158</v>
      </c>
      <c r="AK51" s="343"/>
      <c r="AL51" s="343"/>
      <c r="AM51" s="343"/>
      <c r="AN51" s="343"/>
      <c r="AO51" s="343"/>
      <c r="AP51" s="343"/>
      <c r="AQ51" s="343"/>
      <c r="AR51" s="343" t="s">
        <v>184</v>
      </c>
      <c r="AS51" s="343"/>
      <c r="AT51" s="343"/>
      <c r="AU51" s="343"/>
      <c r="AV51" s="343"/>
      <c r="AW51" s="343"/>
      <c r="AX51" s="343"/>
      <c r="AY51" s="343"/>
      <c r="AZ51" s="343" t="s">
        <v>62</v>
      </c>
      <c r="BA51" s="343"/>
      <c r="BB51" s="343"/>
      <c r="BC51" s="343"/>
      <c r="BD51" s="343"/>
      <c r="BE51" s="343"/>
      <c r="BF51" s="343"/>
      <c r="BG51" s="343"/>
      <c r="BH51" s="174"/>
      <c r="BI51" s="174"/>
      <c r="BJ51" s="174"/>
      <c r="BK51" s="174"/>
      <c r="BL51" s="174"/>
      <c r="BM51" s="176"/>
      <c r="BN51" s="176"/>
      <c r="CQ51" s="87"/>
      <c r="CR51" s="87"/>
      <c r="CS51" s="87"/>
      <c r="CT51" s="87"/>
      <c r="CU51" s="87"/>
      <c r="CV51" s="87"/>
      <c r="CW51" s="87"/>
    </row>
    <row r="52" spans="1:101" s="177" customFormat="1" outlineLevel="3">
      <c r="A52" s="174"/>
      <c r="B52" s="174"/>
      <c r="C52" s="174"/>
      <c r="D52" s="174"/>
      <c r="E52" s="174"/>
      <c r="F52" s="352">
        <v>1</v>
      </c>
      <c r="G52" s="353"/>
      <c r="H52" s="388" t="s">
        <v>185</v>
      </c>
      <c r="I52" s="388"/>
      <c r="J52" s="388"/>
      <c r="K52" s="388"/>
      <c r="L52" s="388"/>
      <c r="M52" s="388"/>
      <c r="N52" s="388"/>
      <c r="O52" s="388"/>
      <c r="P52" s="388"/>
      <c r="Q52" s="388"/>
      <c r="R52" s="388"/>
      <c r="S52" s="388"/>
      <c r="T52" s="407">
        <v>3750</v>
      </c>
      <c r="U52" s="407"/>
      <c r="V52" s="407"/>
      <c r="W52" s="407"/>
      <c r="X52" s="407"/>
      <c r="Y52" s="407"/>
      <c r="Z52" s="407"/>
      <c r="AA52" s="407"/>
      <c r="AB52" s="428">
        <v>5</v>
      </c>
      <c r="AC52" s="428"/>
      <c r="AD52" s="428"/>
      <c r="AE52" s="428"/>
      <c r="AF52" s="428"/>
      <c r="AG52" s="428"/>
      <c r="AH52" s="428"/>
      <c r="AI52" s="428"/>
      <c r="AJ52" s="423">
        <f>$AW$11</f>
        <v>2.5</v>
      </c>
      <c r="AK52" s="424"/>
      <c r="AL52" s="424"/>
      <c r="AM52" s="424"/>
      <c r="AN52" s="424"/>
      <c r="AO52" s="424"/>
      <c r="AP52" s="424"/>
      <c r="AQ52" s="425"/>
      <c r="AR52" s="429" t="s">
        <v>186</v>
      </c>
      <c r="AS52" s="429"/>
      <c r="AT52" s="429"/>
      <c r="AU52" s="429"/>
      <c r="AV52" s="429"/>
      <c r="AW52" s="429"/>
      <c r="AX52" s="429"/>
      <c r="AY52" s="429"/>
      <c r="AZ52" s="382">
        <f>T52*AB52*AJ52</f>
        <v>46875</v>
      </c>
      <c r="BA52" s="382"/>
      <c r="BB52" s="382"/>
      <c r="BC52" s="382"/>
      <c r="BD52" s="382"/>
      <c r="BE52" s="382"/>
      <c r="BF52" s="382"/>
      <c r="BG52" s="382"/>
      <c r="BH52" s="174"/>
      <c r="BI52" s="174"/>
      <c r="BJ52" s="174"/>
      <c r="BK52" s="174"/>
      <c r="BL52" s="174"/>
      <c r="BM52" s="176"/>
      <c r="CQ52" s="87"/>
      <c r="CR52" s="87"/>
      <c r="CS52" s="87"/>
      <c r="CT52" s="87"/>
      <c r="CU52" s="87"/>
      <c r="CV52" s="87"/>
      <c r="CW52" s="87"/>
    </row>
    <row r="53" spans="1:101" s="177" customFormat="1" outlineLevel="3">
      <c r="A53" s="174"/>
      <c r="B53" s="174"/>
      <c r="C53" s="174"/>
      <c r="D53" s="174"/>
      <c r="E53" s="174"/>
      <c r="F53" s="352">
        <v>2</v>
      </c>
      <c r="G53" s="353"/>
      <c r="H53" s="388" t="s">
        <v>187</v>
      </c>
      <c r="I53" s="388"/>
      <c r="J53" s="388"/>
      <c r="K53" s="388"/>
      <c r="L53" s="388"/>
      <c r="M53" s="388"/>
      <c r="N53" s="388"/>
      <c r="O53" s="388"/>
      <c r="P53" s="388"/>
      <c r="Q53" s="388"/>
      <c r="R53" s="388"/>
      <c r="S53" s="388"/>
      <c r="T53" s="407">
        <v>1000</v>
      </c>
      <c r="U53" s="407"/>
      <c r="V53" s="407"/>
      <c r="W53" s="407"/>
      <c r="X53" s="407"/>
      <c r="Y53" s="407"/>
      <c r="Z53" s="407"/>
      <c r="AA53" s="407"/>
      <c r="AB53" s="428">
        <v>5</v>
      </c>
      <c r="AC53" s="428"/>
      <c r="AD53" s="428"/>
      <c r="AE53" s="428"/>
      <c r="AF53" s="428"/>
      <c r="AG53" s="428"/>
      <c r="AH53" s="428"/>
      <c r="AI53" s="428"/>
      <c r="AJ53" s="423">
        <v>2.5</v>
      </c>
      <c r="AK53" s="424"/>
      <c r="AL53" s="424"/>
      <c r="AM53" s="424"/>
      <c r="AN53" s="424"/>
      <c r="AO53" s="424"/>
      <c r="AP53" s="424"/>
      <c r="AQ53" s="425"/>
      <c r="AR53" s="408">
        <v>2</v>
      </c>
      <c r="AS53" s="408"/>
      <c r="AT53" s="408"/>
      <c r="AU53" s="408"/>
      <c r="AV53" s="408"/>
      <c r="AW53" s="408"/>
      <c r="AX53" s="408"/>
      <c r="AY53" s="408"/>
      <c r="AZ53" s="382">
        <f>((T53*AB53)*AJ53)*AR53</f>
        <v>25000</v>
      </c>
      <c r="BA53" s="382"/>
      <c r="BB53" s="382"/>
      <c r="BC53" s="382"/>
      <c r="BD53" s="382"/>
      <c r="BE53" s="382"/>
      <c r="BF53" s="382"/>
      <c r="BG53" s="382"/>
      <c r="BH53" s="174"/>
      <c r="BI53" s="174"/>
      <c r="BJ53" s="174"/>
      <c r="BK53" s="174"/>
      <c r="BL53" s="174"/>
      <c r="BM53" s="176"/>
      <c r="CQ53" s="87"/>
      <c r="CR53" s="87"/>
      <c r="CS53" s="87"/>
      <c r="CT53" s="87"/>
      <c r="CU53" s="87"/>
      <c r="CV53" s="87"/>
      <c r="CW53" s="87"/>
    </row>
    <row r="54" spans="1:101" s="177" customFormat="1" outlineLevel="3">
      <c r="A54" s="174"/>
      <c r="B54" s="174"/>
      <c r="C54" s="174"/>
      <c r="D54" s="174"/>
      <c r="E54" s="174"/>
      <c r="F54" s="352">
        <v>3</v>
      </c>
      <c r="G54" s="353"/>
      <c r="H54" s="388" t="s">
        <v>188</v>
      </c>
      <c r="I54" s="388"/>
      <c r="J54" s="388"/>
      <c r="K54" s="388"/>
      <c r="L54" s="388"/>
      <c r="M54" s="388"/>
      <c r="N54" s="388"/>
      <c r="O54" s="388"/>
      <c r="P54" s="388"/>
      <c r="Q54" s="388"/>
      <c r="R54" s="388"/>
      <c r="S54" s="388"/>
      <c r="T54" s="407">
        <v>0</v>
      </c>
      <c r="U54" s="407"/>
      <c r="V54" s="407"/>
      <c r="W54" s="407"/>
      <c r="X54" s="407"/>
      <c r="Y54" s="407"/>
      <c r="Z54" s="407"/>
      <c r="AA54" s="407"/>
      <c r="AB54" s="428">
        <v>20</v>
      </c>
      <c r="AC54" s="428"/>
      <c r="AD54" s="428"/>
      <c r="AE54" s="428"/>
      <c r="AF54" s="428"/>
      <c r="AG54" s="428"/>
      <c r="AH54" s="428"/>
      <c r="AI54" s="428"/>
      <c r="AJ54" s="423">
        <f>$AW$11</f>
        <v>2.5</v>
      </c>
      <c r="AK54" s="424"/>
      <c r="AL54" s="424"/>
      <c r="AM54" s="424"/>
      <c r="AN54" s="424"/>
      <c r="AO54" s="424"/>
      <c r="AP54" s="424"/>
      <c r="AQ54" s="425"/>
      <c r="AR54" s="429" t="s">
        <v>186</v>
      </c>
      <c r="AS54" s="429"/>
      <c r="AT54" s="429"/>
      <c r="AU54" s="429"/>
      <c r="AV54" s="429"/>
      <c r="AW54" s="429"/>
      <c r="AX54" s="429"/>
      <c r="AY54" s="429"/>
      <c r="AZ54" s="382">
        <f>T54*AB54*AJ54</f>
        <v>0</v>
      </c>
      <c r="BA54" s="382"/>
      <c r="BB54" s="382"/>
      <c r="BC54" s="382"/>
      <c r="BD54" s="382"/>
      <c r="BE54" s="382"/>
      <c r="BF54" s="382"/>
      <c r="BG54" s="382"/>
      <c r="BH54" s="174"/>
      <c r="BI54" s="174"/>
      <c r="BJ54" s="174"/>
      <c r="BK54" s="174"/>
      <c r="BL54" s="174"/>
      <c r="BM54" s="176"/>
      <c r="CQ54" s="87"/>
      <c r="CR54" s="87"/>
      <c r="CS54" s="87"/>
      <c r="CT54" s="87"/>
      <c r="CU54" s="87"/>
      <c r="CV54" s="87"/>
      <c r="CW54" s="87"/>
    </row>
    <row r="55" spans="1:101" s="177" customFormat="1" ht="6.95" customHeight="1" outlineLevel="2">
      <c r="A55" s="174"/>
      <c r="B55" s="174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6"/>
      <c r="CQ55" s="87"/>
      <c r="CR55" s="87"/>
      <c r="CS55" s="87"/>
      <c r="CT55" s="87"/>
      <c r="CU55" s="87"/>
      <c r="CV55" s="87"/>
      <c r="CW55" s="87"/>
    </row>
    <row r="56" spans="1:101" s="177" customFormat="1" outlineLevel="2">
      <c r="A56" s="174"/>
      <c r="B56" s="174"/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383" t="s">
        <v>178</v>
      </c>
      <c r="AC56" s="383"/>
      <c r="AD56" s="383"/>
      <c r="AE56" s="384" t="str">
        <f>B49</f>
        <v>1.1.3. Gastos Administrativos del Personal Operativo</v>
      </c>
      <c r="AF56" s="384"/>
      <c r="AG56" s="384"/>
      <c r="AH56" s="384"/>
      <c r="AI56" s="384"/>
      <c r="AJ56" s="384"/>
      <c r="AK56" s="384"/>
      <c r="AL56" s="384"/>
      <c r="AM56" s="384"/>
      <c r="AN56" s="384"/>
      <c r="AO56" s="384"/>
      <c r="AP56" s="384"/>
      <c r="AQ56" s="384"/>
      <c r="AR56" s="384"/>
      <c r="AS56" s="384"/>
      <c r="AT56" s="384"/>
      <c r="AU56" s="384"/>
      <c r="AV56" s="414">
        <f>SUM(AZ52:BG54)</f>
        <v>71875</v>
      </c>
      <c r="AW56" s="414"/>
      <c r="AX56" s="414"/>
      <c r="AY56" s="414"/>
      <c r="AZ56" s="414"/>
      <c r="BA56" s="414"/>
      <c r="BB56" s="414"/>
      <c r="BC56" s="414"/>
      <c r="BD56" s="387">
        <f>AV56/$AW$215</f>
        <v>7.9540103823723257E-3</v>
      </c>
      <c r="BE56" s="387"/>
      <c r="BF56" s="387"/>
      <c r="BG56" s="387"/>
      <c r="BH56" s="387"/>
      <c r="BI56" s="387" t="s">
        <v>179</v>
      </c>
      <c r="BJ56" s="387"/>
      <c r="BK56" s="387"/>
      <c r="BL56" s="174"/>
      <c r="BM56" s="176"/>
      <c r="CQ56" s="87"/>
      <c r="CR56" s="87"/>
      <c r="CS56" s="87"/>
      <c r="CT56" s="87"/>
      <c r="CU56" s="87"/>
      <c r="CV56" s="87"/>
      <c r="CW56" s="87"/>
    </row>
    <row r="57" spans="1:101" s="177" customFormat="1" ht="6.95" customHeight="1" outlineLevel="1">
      <c r="A57" s="174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4"/>
      <c r="AO57" s="174"/>
      <c r="AP57" s="174"/>
      <c r="AQ57" s="174"/>
      <c r="AR57" s="174"/>
      <c r="AS57" s="174"/>
      <c r="AT57" s="174"/>
      <c r="AU57" s="174"/>
      <c r="AV57" s="174"/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6"/>
      <c r="CQ57" s="87"/>
      <c r="CR57" s="87"/>
      <c r="CS57" s="87"/>
      <c r="CT57" s="87"/>
      <c r="CU57" s="87"/>
      <c r="CV57" s="87"/>
      <c r="CW57" s="87"/>
    </row>
    <row r="58" spans="1:101" s="177" customFormat="1" outlineLevel="1">
      <c r="A58" s="174"/>
      <c r="B58" s="174"/>
      <c r="C58" s="174"/>
      <c r="D58" s="174"/>
      <c r="E58" s="174"/>
      <c r="F58" s="174"/>
      <c r="G58" s="174"/>
      <c r="H58" s="174"/>
      <c r="I58" s="174"/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383" t="s">
        <v>178</v>
      </c>
      <c r="AC58" s="383"/>
      <c r="AD58" s="383"/>
      <c r="AE58" s="384" t="str">
        <f>B16</f>
        <v>1.1. Honorarios, sueldos y prestaciones</v>
      </c>
      <c r="AF58" s="384"/>
      <c r="AG58" s="384"/>
      <c r="AH58" s="384"/>
      <c r="AI58" s="384"/>
      <c r="AJ58" s="384"/>
      <c r="AK58" s="384"/>
      <c r="AL58" s="384"/>
      <c r="AM58" s="384"/>
      <c r="AN58" s="384"/>
      <c r="AO58" s="384"/>
      <c r="AP58" s="384"/>
      <c r="AQ58" s="384"/>
      <c r="AR58" s="384"/>
      <c r="AS58" s="384"/>
      <c r="AT58" s="384"/>
      <c r="AU58" s="384"/>
      <c r="AV58" s="414">
        <f>AV31+AV47+AV56</f>
        <v>335750</v>
      </c>
      <c r="AW58" s="414"/>
      <c r="AX58" s="414"/>
      <c r="AY58" s="414"/>
      <c r="AZ58" s="414"/>
      <c r="BA58" s="414"/>
      <c r="BB58" s="414"/>
      <c r="BC58" s="414"/>
      <c r="BD58" s="387">
        <f>AV58/$AW$215</f>
        <v>3.715560328182968E-2</v>
      </c>
      <c r="BE58" s="387"/>
      <c r="BF58" s="387"/>
      <c r="BG58" s="387"/>
      <c r="BH58" s="387"/>
      <c r="BI58" s="387" t="s">
        <v>179</v>
      </c>
      <c r="BJ58" s="387"/>
      <c r="BK58" s="387"/>
      <c r="BL58" s="174"/>
      <c r="BM58" s="176"/>
      <c r="CQ58" s="87"/>
      <c r="CR58" s="87"/>
      <c r="CS58" s="87"/>
      <c r="CT58" s="87"/>
      <c r="CU58" s="87"/>
      <c r="CV58" s="87"/>
      <c r="CW58" s="87"/>
    </row>
    <row r="59" spans="1:101" s="177" customFormat="1" ht="6.95" customHeight="1" outlineLevel="1">
      <c r="A59" s="174"/>
      <c r="B59" s="174"/>
      <c r="C59" s="174"/>
      <c r="D59" s="174"/>
      <c r="E59" s="174"/>
      <c r="F59" s="174"/>
      <c r="G59" s="174"/>
      <c r="H59" s="174"/>
      <c r="I59" s="174"/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4"/>
      <c r="AO59" s="174"/>
      <c r="AP59" s="174"/>
      <c r="AQ59" s="174"/>
      <c r="AR59" s="174"/>
      <c r="AS59" s="174"/>
      <c r="AT59" s="174"/>
      <c r="AU59" s="174"/>
      <c r="AV59" s="174"/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6"/>
      <c r="CQ59" s="87"/>
      <c r="CR59" s="87"/>
      <c r="CS59" s="87"/>
      <c r="CT59" s="87"/>
      <c r="CU59" s="87"/>
      <c r="CV59" s="87"/>
      <c r="CW59" s="87"/>
    </row>
    <row r="60" spans="1:101" s="177" customFormat="1" outlineLevel="1">
      <c r="A60" s="174"/>
      <c r="B60" s="185" t="s">
        <v>189</v>
      </c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74"/>
      <c r="AS60" s="174"/>
      <c r="AT60" s="174"/>
      <c r="AU60" s="174"/>
      <c r="AV60" s="174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6"/>
      <c r="CQ60" s="87"/>
      <c r="CR60" s="87"/>
      <c r="CS60" s="87"/>
      <c r="CT60" s="87"/>
      <c r="CU60" s="87"/>
      <c r="CV60" s="87"/>
      <c r="CW60" s="87"/>
    </row>
    <row r="61" spans="1:101" s="176" customFormat="1" ht="6.95" customHeight="1" outlineLevel="2">
      <c r="A61" s="174"/>
      <c r="B61" s="174"/>
      <c r="C61" s="174"/>
      <c r="D61" s="174"/>
      <c r="E61" s="174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  <c r="AM61" s="174"/>
      <c r="AN61" s="174"/>
      <c r="AO61" s="174"/>
      <c r="AP61" s="174"/>
      <c r="AQ61" s="174"/>
      <c r="AR61" s="174"/>
      <c r="AS61" s="174"/>
      <c r="AT61" s="174"/>
      <c r="AU61" s="174"/>
      <c r="AV61" s="174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N61" s="177"/>
      <c r="BO61" s="177"/>
      <c r="BP61" s="177"/>
      <c r="BQ61" s="177"/>
      <c r="BR61" s="177"/>
      <c r="BS61" s="177"/>
      <c r="BT61" s="177"/>
      <c r="BU61" s="177"/>
      <c r="BV61" s="177"/>
      <c r="BW61" s="177"/>
      <c r="BX61" s="177"/>
      <c r="BY61" s="177"/>
      <c r="BZ61" s="177"/>
      <c r="CA61" s="177"/>
      <c r="CB61" s="177"/>
      <c r="CC61" s="177"/>
      <c r="CD61" s="177"/>
      <c r="CE61" s="177"/>
      <c r="CF61" s="177"/>
      <c r="CG61" s="177"/>
      <c r="CH61" s="177"/>
      <c r="CI61" s="177"/>
      <c r="CJ61" s="177"/>
      <c r="CK61" s="177"/>
      <c r="CL61" s="177"/>
      <c r="CM61" s="177"/>
      <c r="CN61" s="177"/>
      <c r="CO61" s="177"/>
      <c r="CP61" s="177"/>
      <c r="CQ61" s="87"/>
      <c r="CR61" s="87"/>
      <c r="CS61" s="87"/>
      <c r="CT61" s="87"/>
      <c r="CU61" s="87"/>
      <c r="CV61" s="87"/>
      <c r="CW61" s="87"/>
    </row>
    <row r="62" spans="1:101" s="176" customFormat="1" outlineLevel="2">
      <c r="A62" s="174"/>
      <c r="B62" s="378" t="s">
        <v>153</v>
      </c>
      <c r="C62" s="379"/>
      <c r="D62" s="378" t="s">
        <v>21</v>
      </c>
      <c r="E62" s="380"/>
      <c r="F62" s="380"/>
      <c r="G62" s="380"/>
      <c r="H62" s="380"/>
      <c r="I62" s="380"/>
      <c r="J62" s="380"/>
      <c r="K62" s="380"/>
      <c r="L62" s="380"/>
      <c r="M62" s="380"/>
      <c r="N62" s="380"/>
      <c r="O62" s="379"/>
      <c r="P62" s="378" t="s">
        <v>182</v>
      </c>
      <c r="Q62" s="380"/>
      <c r="R62" s="380"/>
      <c r="S62" s="380"/>
      <c r="T62" s="380"/>
      <c r="U62" s="380"/>
      <c r="V62" s="380"/>
      <c r="W62" s="379"/>
      <c r="X62" s="378" t="s">
        <v>60</v>
      </c>
      <c r="Y62" s="380"/>
      <c r="Z62" s="380"/>
      <c r="AA62" s="380"/>
      <c r="AB62" s="380"/>
      <c r="AC62" s="380"/>
      <c r="AD62" s="380"/>
      <c r="AE62" s="379"/>
      <c r="AF62" s="378" t="s">
        <v>158</v>
      </c>
      <c r="AG62" s="380"/>
      <c r="AH62" s="380"/>
      <c r="AI62" s="380"/>
      <c r="AJ62" s="380"/>
      <c r="AK62" s="380"/>
      <c r="AL62" s="380"/>
      <c r="AM62" s="379"/>
      <c r="AN62" s="378" t="s">
        <v>190</v>
      </c>
      <c r="AO62" s="380"/>
      <c r="AP62" s="380"/>
      <c r="AQ62" s="380"/>
      <c r="AR62" s="380"/>
      <c r="AS62" s="380"/>
      <c r="AT62" s="380"/>
      <c r="AU62" s="379"/>
      <c r="AV62" s="378" t="s">
        <v>191</v>
      </c>
      <c r="AW62" s="380"/>
      <c r="AX62" s="380"/>
      <c r="AY62" s="380"/>
      <c r="AZ62" s="380"/>
      <c r="BA62" s="380"/>
      <c r="BB62" s="380"/>
      <c r="BC62" s="379"/>
      <c r="BD62" s="378" t="s">
        <v>62</v>
      </c>
      <c r="BE62" s="380"/>
      <c r="BF62" s="380"/>
      <c r="BG62" s="380"/>
      <c r="BH62" s="380"/>
      <c r="BI62" s="380"/>
      <c r="BJ62" s="380"/>
      <c r="BK62" s="379"/>
      <c r="BL62" s="174"/>
      <c r="BN62" s="177"/>
      <c r="BO62" s="177"/>
      <c r="BP62" s="177"/>
      <c r="BQ62" s="177"/>
      <c r="BR62" s="177"/>
      <c r="BS62" s="177"/>
      <c r="BT62" s="177"/>
      <c r="BU62" s="177"/>
      <c r="BV62" s="177"/>
      <c r="BW62" s="177"/>
      <c r="BX62" s="177"/>
      <c r="BY62" s="177"/>
      <c r="BZ62" s="177"/>
      <c r="CA62" s="177"/>
      <c r="CB62" s="177"/>
      <c r="CC62" s="177"/>
      <c r="CD62" s="177"/>
      <c r="CE62" s="177"/>
      <c r="CF62" s="177"/>
      <c r="CG62" s="177"/>
      <c r="CH62" s="177"/>
      <c r="CI62" s="177"/>
      <c r="CJ62" s="177"/>
      <c r="CK62" s="177"/>
      <c r="CL62" s="177"/>
      <c r="CM62" s="177"/>
      <c r="CN62" s="177"/>
      <c r="CO62" s="177"/>
      <c r="CP62" s="177"/>
      <c r="CQ62" s="87"/>
      <c r="CR62" s="87"/>
      <c r="CS62" s="87"/>
      <c r="CT62" s="87"/>
      <c r="CU62" s="87"/>
      <c r="CV62" s="87"/>
      <c r="CW62" s="87"/>
    </row>
    <row r="63" spans="1:101" s="176" customFormat="1" outlineLevel="2">
      <c r="A63" s="174"/>
      <c r="B63" s="352">
        <v>1</v>
      </c>
      <c r="C63" s="353"/>
      <c r="D63" s="388" t="s">
        <v>192</v>
      </c>
      <c r="E63" s="388"/>
      <c r="F63" s="388"/>
      <c r="G63" s="388"/>
      <c r="H63" s="388"/>
      <c r="I63" s="388"/>
      <c r="J63" s="388"/>
      <c r="K63" s="388"/>
      <c r="L63" s="388"/>
      <c r="M63" s="388"/>
      <c r="N63" s="388"/>
      <c r="O63" s="388"/>
      <c r="P63" s="407">
        <v>7000</v>
      </c>
      <c r="Q63" s="407"/>
      <c r="R63" s="407"/>
      <c r="S63" s="407"/>
      <c r="T63" s="407"/>
      <c r="U63" s="407"/>
      <c r="V63" s="407"/>
      <c r="W63" s="407"/>
      <c r="X63" s="408">
        <v>1</v>
      </c>
      <c r="Y63" s="408"/>
      <c r="Z63" s="408"/>
      <c r="AA63" s="408"/>
      <c r="AB63" s="408"/>
      <c r="AC63" s="408"/>
      <c r="AD63" s="408"/>
      <c r="AE63" s="408"/>
      <c r="AF63" s="423">
        <f>$AW$11</f>
        <v>2.5</v>
      </c>
      <c r="AG63" s="424"/>
      <c r="AH63" s="424"/>
      <c r="AI63" s="424"/>
      <c r="AJ63" s="424"/>
      <c r="AK63" s="424"/>
      <c r="AL63" s="424"/>
      <c r="AM63" s="425"/>
      <c r="AN63" s="407">
        <v>8000</v>
      </c>
      <c r="AO63" s="407"/>
      <c r="AP63" s="407"/>
      <c r="AQ63" s="407"/>
      <c r="AR63" s="407"/>
      <c r="AS63" s="407"/>
      <c r="AT63" s="407"/>
      <c r="AU63" s="407"/>
      <c r="AV63" s="407">
        <v>0</v>
      </c>
      <c r="AW63" s="407"/>
      <c r="AX63" s="407"/>
      <c r="AY63" s="407"/>
      <c r="AZ63" s="407"/>
      <c r="BA63" s="407"/>
      <c r="BB63" s="407"/>
      <c r="BC63" s="407"/>
      <c r="BD63" s="427">
        <f>((P63*X63)*AF63)+(AN63+AV63)</f>
        <v>25500</v>
      </c>
      <c r="BE63" s="427"/>
      <c r="BF63" s="427"/>
      <c r="BG63" s="427"/>
      <c r="BH63" s="427"/>
      <c r="BI63" s="427"/>
      <c r="BJ63" s="427"/>
      <c r="BK63" s="427"/>
      <c r="BL63" s="174"/>
      <c r="BN63" s="177"/>
      <c r="BO63" s="177"/>
      <c r="BP63" s="177"/>
      <c r="BQ63" s="177"/>
      <c r="BR63" s="177"/>
      <c r="BS63" s="177"/>
      <c r="BT63" s="177"/>
      <c r="BU63" s="177"/>
      <c r="BV63" s="177"/>
      <c r="BW63" s="177"/>
      <c r="BX63" s="177"/>
      <c r="BY63" s="177"/>
      <c r="BZ63" s="177"/>
      <c r="CA63" s="177"/>
      <c r="CB63" s="177"/>
      <c r="CC63" s="177"/>
      <c r="CD63" s="177"/>
      <c r="CE63" s="177"/>
      <c r="CF63" s="177"/>
      <c r="CG63" s="177"/>
      <c r="CH63" s="177"/>
      <c r="CI63" s="177"/>
      <c r="CJ63" s="177"/>
      <c r="CK63" s="177"/>
      <c r="CL63" s="177"/>
      <c r="CM63" s="177"/>
      <c r="CN63" s="177"/>
      <c r="CO63" s="177"/>
      <c r="CP63" s="177"/>
      <c r="CQ63" s="87"/>
      <c r="CR63" s="87"/>
      <c r="CS63" s="87"/>
      <c r="CT63" s="87"/>
      <c r="CU63" s="87"/>
      <c r="CV63" s="87"/>
      <c r="CW63" s="87"/>
    </row>
    <row r="64" spans="1:101" s="176" customFormat="1" outlineLevel="2">
      <c r="A64" s="174"/>
      <c r="B64" s="352">
        <v>2</v>
      </c>
      <c r="C64" s="353"/>
      <c r="D64" s="388" t="s">
        <v>193</v>
      </c>
      <c r="E64" s="388"/>
      <c r="F64" s="388"/>
      <c r="G64" s="388"/>
      <c r="H64" s="388"/>
      <c r="I64" s="388"/>
      <c r="J64" s="388"/>
      <c r="K64" s="388"/>
      <c r="L64" s="388"/>
      <c r="M64" s="388"/>
      <c r="N64" s="388"/>
      <c r="O64" s="388"/>
      <c r="P64" s="407">
        <v>6500</v>
      </c>
      <c r="Q64" s="407"/>
      <c r="R64" s="407"/>
      <c r="S64" s="407"/>
      <c r="T64" s="407"/>
      <c r="U64" s="407"/>
      <c r="V64" s="407"/>
      <c r="W64" s="407"/>
      <c r="X64" s="408">
        <v>1</v>
      </c>
      <c r="Y64" s="408"/>
      <c r="Z64" s="408"/>
      <c r="AA64" s="408"/>
      <c r="AB64" s="408"/>
      <c r="AC64" s="408"/>
      <c r="AD64" s="408"/>
      <c r="AE64" s="408"/>
      <c r="AF64" s="423">
        <f t="shared" ref="AF64:AF76" si="4">$AW$11</f>
        <v>2.5</v>
      </c>
      <c r="AG64" s="424"/>
      <c r="AH64" s="424"/>
      <c r="AI64" s="424"/>
      <c r="AJ64" s="424"/>
      <c r="AK64" s="424"/>
      <c r="AL64" s="424"/>
      <c r="AM64" s="425"/>
      <c r="AN64" s="407">
        <v>8000</v>
      </c>
      <c r="AO64" s="407"/>
      <c r="AP64" s="407"/>
      <c r="AQ64" s="407"/>
      <c r="AR64" s="407"/>
      <c r="AS64" s="407"/>
      <c r="AT64" s="407"/>
      <c r="AU64" s="407"/>
      <c r="AV64" s="407">
        <v>5000</v>
      </c>
      <c r="AW64" s="407"/>
      <c r="AX64" s="407"/>
      <c r="AY64" s="407"/>
      <c r="AZ64" s="407"/>
      <c r="BA64" s="407"/>
      <c r="BB64" s="407"/>
      <c r="BC64" s="407"/>
      <c r="BD64" s="427">
        <f t="shared" ref="BD64:BD76" si="5">((P64*X64)*AF64)+(AN64+AV64)</f>
        <v>29250</v>
      </c>
      <c r="BE64" s="427"/>
      <c r="BF64" s="427"/>
      <c r="BG64" s="427"/>
      <c r="BH64" s="427"/>
      <c r="BI64" s="427"/>
      <c r="BJ64" s="427"/>
      <c r="BK64" s="427"/>
      <c r="BL64" s="174"/>
      <c r="BN64" s="177"/>
      <c r="BO64" s="177"/>
      <c r="BP64" s="177"/>
      <c r="BQ64" s="177"/>
      <c r="BR64" s="177"/>
      <c r="BS64" s="177"/>
      <c r="BT64" s="177"/>
      <c r="BU64" s="177"/>
      <c r="BV64" s="177"/>
      <c r="BW64" s="177"/>
      <c r="BX64" s="177"/>
      <c r="BY64" s="177"/>
      <c r="BZ64" s="177"/>
      <c r="CA64" s="177"/>
      <c r="CB64" s="177"/>
      <c r="CC64" s="177"/>
      <c r="CD64" s="177"/>
      <c r="CE64" s="177"/>
      <c r="CF64" s="177"/>
      <c r="CG64" s="177"/>
      <c r="CH64" s="177"/>
      <c r="CI64" s="177"/>
      <c r="CJ64" s="177"/>
      <c r="CK64" s="177"/>
      <c r="CL64" s="177"/>
      <c r="CM64" s="177"/>
      <c r="CN64" s="177"/>
      <c r="CO64" s="177"/>
      <c r="CP64" s="177"/>
      <c r="CQ64" s="87"/>
      <c r="CR64" s="87"/>
      <c r="CS64" s="87"/>
      <c r="CT64" s="87"/>
      <c r="CU64" s="87"/>
      <c r="CV64" s="87"/>
      <c r="CW64" s="87"/>
    </row>
    <row r="65" spans="1:101" s="176" customFormat="1" outlineLevel="2">
      <c r="A65" s="174"/>
      <c r="B65" s="352">
        <v>3</v>
      </c>
      <c r="C65" s="353"/>
      <c r="D65" s="388" t="s">
        <v>194</v>
      </c>
      <c r="E65" s="388"/>
      <c r="F65" s="388"/>
      <c r="G65" s="388"/>
      <c r="H65" s="388"/>
      <c r="I65" s="388"/>
      <c r="J65" s="388"/>
      <c r="K65" s="388"/>
      <c r="L65" s="388"/>
      <c r="M65" s="388"/>
      <c r="N65" s="388"/>
      <c r="O65" s="388"/>
      <c r="P65" s="407">
        <v>15000</v>
      </c>
      <c r="Q65" s="407"/>
      <c r="R65" s="407"/>
      <c r="S65" s="407"/>
      <c r="T65" s="407"/>
      <c r="U65" s="407"/>
      <c r="V65" s="407"/>
      <c r="W65" s="407"/>
      <c r="X65" s="408">
        <v>1</v>
      </c>
      <c r="Y65" s="408"/>
      <c r="Z65" s="408"/>
      <c r="AA65" s="408"/>
      <c r="AB65" s="408"/>
      <c r="AC65" s="408"/>
      <c r="AD65" s="408"/>
      <c r="AE65" s="408"/>
      <c r="AF65" s="419">
        <f t="shared" si="4"/>
        <v>2.5</v>
      </c>
      <c r="AG65" s="420"/>
      <c r="AH65" s="420"/>
      <c r="AI65" s="420"/>
      <c r="AJ65" s="420"/>
      <c r="AK65" s="420"/>
      <c r="AL65" s="420"/>
      <c r="AM65" s="421"/>
      <c r="AN65" s="407">
        <v>0</v>
      </c>
      <c r="AO65" s="407"/>
      <c r="AP65" s="407"/>
      <c r="AQ65" s="407"/>
      <c r="AR65" s="407"/>
      <c r="AS65" s="407"/>
      <c r="AT65" s="407"/>
      <c r="AU65" s="407"/>
      <c r="AV65" s="407">
        <v>0</v>
      </c>
      <c r="AW65" s="407"/>
      <c r="AX65" s="407"/>
      <c r="AY65" s="407"/>
      <c r="AZ65" s="407"/>
      <c r="BA65" s="407"/>
      <c r="BB65" s="407"/>
      <c r="BC65" s="407"/>
      <c r="BD65" s="427">
        <f t="shared" si="5"/>
        <v>37500</v>
      </c>
      <c r="BE65" s="427"/>
      <c r="BF65" s="427"/>
      <c r="BG65" s="427"/>
      <c r="BH65" s="427"/>
      <c r="BI65" s="427"/>
      <c r="BJ65" s="427"/>
      <c r="BK65" s="427"/>
      <c r="BL65" s="174"/>
      <c r="BN65" s="177"/>
      <c r="BO65" s="177"/>
      <c r="BP65" s="177"/>
      <c r="BQ65" s="177"/>
      <c r="BR65" s="177"/>
      <c r="BS65" s="177"/>
      <c r="BT65" s="177"/>
      <c r="BU65" s="177"/>
      <c r="BV65" s="177"/>
      <c r="BW65" s="177"/>
      <c r="BX65" s="177"/>
      <c r="BY65" s="177"/>
      <c r="BZ65" s="177"/>
      <c r="CA65" s="177"/>
      <c r="CB65" s="177"/>
      <c r="CC65" s="177"/>
      <c r="CD65" s="177"/>
      <c r="CE65" s="177"/>
      <c r="CF65" s="177"/>
      <c r="CG65" s="177"/>
      <c r="CH65" s="177"/>
      <c r="CI65" s="177"/>
      <c r="CJ65" s="177"/>
      <c r="CK65" s="177"/>
      <c r="CL65" s="177"/>
      <c r="CM65" s="177"/>
      <c r="CN65" s="177"/>
      <c r="CO65" s="177"/>
      <c r="CP65" s="177"/>
      <c r="CQ65" s="87"/>
      <c r="CR65" s="87"/>
      <c r="CS65" s="87"/>
      <c r="CT65" s="87"/>
      <c r="CU65" s="87"/>
      <c r="CV65" s="87"/>
      <c r="CW65" s="87"/>
    </row>
    <row r="66" spans="1:101" s="176" customFormat="1" outlineLevel="2">
      <c r="A66" s="174"/>
      <c r="B66" s="352">
        <v>4</v>
      </c>
      <c r="C66" s="353"/>
      <c r="D66" s="388" t="s">
        <v>195</v>
      </c>
      <c r="E66" s="388"/>
      <c r="F66" s="388"/>
      <c r="G66" s="388"/>
      <c r="H66" s="388"/>
      <c r="I66" s="388"/>
      <c r="J66" s="388"/>
      <c r="K66" s="388"/>
      <c r="L66" s="388"/>
      <c r="M66" s="388"/>
      <c r="N66" s="388"/>
      <c r="O66" s="388"/>
      <c r="P66" s="407">
        <v>15000</v>
      </c>
      <c r="Q66" s="407"/>
      <c r="R66" s="407"/>
      <c r="S66" s="407"/>
      <c r="T66" s="407"/>
      <c r="U66" s="407"/>
      <c r="V66" s="407"/>
      <c r="W66" s="407"/>
      <c r="X66" s="408">
        <v>1</v>
      </c>
      <c r="Y66" s="408"/>
      <c r="Z66" s="408"/>
      <c r="AA66" s="408"/>
      <c r="AB66" s="408"/>
      <c r="AC66" s="408"/>
      <c r="AD66" s="408"/>
      <c r="AE66" s="408"/>
      <c r="AF66" s="419">
        <f t="shared" si="4"/>
        <v>2.5</v>
      </c>
      <c r="AG66" s="420"/>
      <c r="AH66" s="420"/>
      <c r="AI66" s="420"/>
      <c r="AJ66" s="420"/>
      <c r="AK66" s="420"/>
      <c r="AL66" s="420"/>
      <c r="AM66" s="421"/>
      <c r="AN66" s="407">
        <v>0</v>
      </c>
      <c r="AO66" s="407"/>
      <c r="AP66" s="407"/>
      <c r="AQ66" s="407"/>
      <c r="AR66" s="407"/>
      <c r="AS66" s="407"/>
      <c r="AT66" s="407"/>
      <c r="AU66" s="407"/>
      <c r="AV66" s="407">
        <v>0</v>
      </c>
      <c r="AW66" s="407"/>
      <c r="AX66" s="407"/>
      <c r="AY66" s="407"/>
      <c r="AZ66" s="407"/>
      <c r="BA66" s="407"/>
      <c r="BB66" s="407"/>
      <c r="BC66" s="407"/>
      <c r="BD66" s="427">
        <f t="shared" si="5"/>
        <v>37500</v>
      </c>
      <c r="BE66" s="427"/>
      <c r="BF66" s="427"/>
      <c r="BG66" s="427"/>
      <c r="BH66" s="427"/>
      <c r="BI66" s="427"/>
      <c r="BJ66" s="427"/>
      <c r="BK66" s="427"/>
      <c r="BL66" s="174"/>
      <c r="BN66" s="177"/>
      <c r="BO66" s="177"/>
      <c r="BP66" s="177"/>
      <c r="BQ66" s="177"/>
      <c r="BR66" s="177"/>
      <c r="BS66" s="177"/>
      <c r="BT66" s="177"/>
      <c r="BU66" s="177"/>
      <c r="BV66" s="177"/>
      <c r="BW66" s="177"/>
      <c r="BX66" s="177"/>
      <c r="BY66" s="177"/>
      <c r="BZ66" s="177"/>
      <c r="CA66" s="177"/>
      <c r="CB66" s="177"/>
      <c r="CC66" s="177"/>
      <c r="CD66" s="177"/>
      <c r="CE66" s="177"/>
      <c r="CF66" s="177"/>
      <c r="CG66" s="177"/>
      <c r="CH66" s="177"/>
      <c r="CI66" s="177"/>
      <c r="CJ66" s="177"/>
      <c r="CK66" s="177"/>
      <c r="CL66" s="177"/>
      <c r="CM66" s="177"/>
      <c r="CN66" s="177"/>
      <c r="CO66" s="177"/>
      <c r="CP66" s="177"/>
      <c r="CQ66" s="87"/>
      <c r="CR66" s="87"/>
      <c r="CS66" s="87"/>
      <c r="CT66" s="87"/>
      <c r="CU66" s="87"/>
      <c r="CV66" s="87"/>
      <c r="CW66" s="87"/>
    </row>
    <row r="67" spans="1:101" s="176" customFormat="1" outlineLevel="2">
      <c r="A67" s="174"/>
      <c r="B67" s="352">
        <v>5</v>
      </c>
      <c r="C67" s="353"/>
      <c r="D67" s="388" t="s">
        <v>43</v>
      </c>
      <c r="E67" s="388"/>
      <c r="F67" s="388"/>
      <c r="G67" s="388"/>
      <c r="H67" s="388"/>
      <c r="I67" s="388"/>
      <c r="J67" s="388"/>
      <c r="K67" s="388"/>
      <c r="L67" s="388"/>
      <c r="M67" s="388"/>
      <c r="N67" s="388"/>
      <c r="O67" s="388"/>
      <c r="P67" s="407">
        <v>15000</v>
      </c>
      <c r="Q67" s="407"/>
      <c r="R67" s="407"/>
      <c r="S67" s="407"/>
      <c r="T67" s="407"/>
      <c r="U67" s="407"/>
      <c r="V67" s="407"/>
      <c r="W67" s="407"/>
      <c r="X67" s="408">
        <v>0</v>
      </c>
      <c r="Y67" s="408"/>
      <c r="Z67" s="408"/>
      <c r="AA67" s="408"/>
      <c r="AB67" s="408"/>
      <c r="AC67" s="408"/>
      <c r="AD67" s="408"/>
      <c r="AE67" s="408"/>
      <c r="AF67" s="423">
        <f t="shared" si="4"/>
        <v>2.5</v>
      </c>
      <c r="AG67" s="424"/>
      <c r="AH67" s="424"/>
      <c r="AI67" s="424"/>
      <c r="AJ67" s="424"/>
      <c r="AK67" s="424"/>
      <c r="AL67" s="424"/>
      <c r="AM67" s="425"/>
      <c r="AN67" s="407">
        <v>0</v>
      </c>
      <c r="AO67" s="407"/>
      <c r="AP67" s="407"/>
      <c r="AQ67" s="407"/>
      <c r="AR67" s="407"/>
      <c r="AS67" s="407"/>
      <c r="AT67" s="407"/>
      <c r="AU67" s="407"/>
      <c r="AV67" s="407">
        <v>0</v>
      </c>
      <c r="AW67" s="407"/>
      <c r="AX67" s="407"/>
      <c r="AY67" s="407"/>
      <c r="AZ67" s="407"/>
      <c r="BA67" s="407"/>
      <c r="BB67" s="407"/>
      <c r="BC67" s="407"/>
      <c r="BD67" s="382">
        <f t="shared" si="5"/>
        <v>0</v>
      </c>
      <c r="BE67" s="382"/>
      <c r="BF67" s="382"/>
      <c r="BG67" s="382"/>
      <c r="BH67" s="382"/>
      <c r="BI67" s="382"/>
      <c r="BJ67" s="382"/>
      <c r="BK67" s="382"/>
      <c r="BL67" s="174"/>
      <c r="BN67" s="177"/>
      <c r="BO67" s="177"/>
      <c r="BP67" s="177"/>
      <c r="BQ67" s="177"/>
      <c r="BR67" s="177"/>
      <c r="BS67" s="177"/>
      <c r="BT67" s="177"/>
      <c r="BU67" s="177"/>
      <c r="BV67" s="177"/>
      <c r="BW67" s="177"/>
      <c r="BX67" s="177"/>
      <c r="BY67" s="177"/>
      <c r="BZ67" s="177"/>
      <c r="CA67" s="177"/>
      <c r="CB67" s="177"/>
      <c r="CC67" s="177"/>
      <c r="CD67" s="177"/>
      <c r="CE67" s="177"/>
      <c r="CF67" s="177"/>
      <c r="CG67" s="177"/>
      <c r="CH67" s="177"/>
      <c r="CI67" s="177"/>
      <c r="CJ67" s="177"/>
      <c r="CK67" s="177"/>
      <c r="CL67" s="177"/>
      <c r="CM67" s="177"/>
      <c r="CN67" s="177"/>
      <c r="CO67" s="177"/>
      <c r="CP67" s="177"/>
      <c r="CQ67" s="87"/>
      <c r="CR67" s="87"/>
      <c r="CS67" s="87"/>
      <c r="CT67" s="87"/>
      <c r="CU67" s="87"/>
      <c r="CV67" s="87"/>
      <c r="CW67" s="87"/>
    </row>
    <row r="68" spans="1:101" s="176" customFormat="1" outlineLevel="2">
      <c r="A68" s="174"/>
      <c r="B68" s="352">
        <v>6</v>
      </c>
      <c r="C68" s="353"/>
      <c r="D68" s="388" t="s">
        <v>196</v>
      </c>
      <c r="E68" s="388"/>
      <c r="F68" s="388"/>
      <c r="G68" s="388"/>
      <c r="H68" s="388"/>
      <c r="I68" s="388"/>
      <c r="J68" s="388"/>
      <c r="K68" s="388"/>
      <c r="L68" s="388"/>
      <c r="M68" s="388"/>
      <c r="N68" s="388"/>
      <c r="O68" s="388"/>
      <c r="P68" s="407">
        <v>0</v>
      </c>
      <c r="Q68" s="407"/>
      <c r="R68" s="407"/>
      <c r="S68" s="407"/>
      <c r="T68" s="407"/>
      <c r="U68" s="407"/>
      <c r="V68" s="407"/>
      <c r="W68" s="407"/>
      <c r="X68" s="408">
        <v>0</v>
      </c>
      <c r="Y68" s="408"/>
      <c r="Z68" s="408"/>
      <c r="AA68" s="408"/>
      <c r="AB68" s="408"/>
      <c r="AC68" s="408"/>
      <c r="AD68" s="408"/>
      <c r="AE68" s="408"/>
      <c r="AF68" s="423">
        <f t="shared" si="4"/>
        <v>2.5</v>
      </c>
      <c r="AG68" s="424"/>
      <c r="AH68" s="424"/>
      <c r="AI68" s="424"/>
      <c r="AJ68" s="424"/>
      <c r="AK68" s="424"/>
      <c r="AL68" s="424"/>
      <c r="AM68" s="425"/>
      <c r="AN68" s="407">
        <v>0</v>
      </c>
      <c r="AO68" s="407"/>
      <c r="AP68" s="407"/>
      <c r="AQ68" s="407"/>
      <c r="AR68" s="407"/>
      <c r="AS68" s="407"/>
      <c r="AT68" s="407"/>
      <c r="AU68" s="407"/>
      <c r="AV68" s="407">
        <v>0</v>
      </c>
      <c r="AW68" s="407"/>
      <c r="AX68" s="407"/>
      <c r="AY68" s="407"/>
      <c r="AZ68" s="407"/>
      <c r="BA68" s="407"/>
      <c r="BB68" s="407"/>
      <c r="BC68" s="407"/>
      <c r="BD68" s="382">
        <f t="shared" si="5"/>
        <v>0</v>
      </c>
      <c r="BE68" s="382"/>
      <c r="BF68" s="382"/>
      <c r="BG68" s="382"/>
      <c r="BH68" s="382"/>
      <c r="BI68" s="382"/>
      <c r="BJ68" s="382"/>
      <c r="BK68" s="382"/>
      <c r="BL68" s="174"/>
      <c r="BN68" s="177"/>
      <c r="BO68" s="177"/>
      <c r="BP68" s="177"/>
      <c r="BQ68" s="177"/>
      <c r="BR68" s="177"/>
      <c r="BS68" s="177"/>
      <c r="BT68" s="177"/>
      <c r="BU68" s="177"/>
      <c r="BV68" s="177"/>
      <c r="BW68" s="177"/>
      <c r="BX68" s="177"/>
      <c r="BY68" s="177"/>
      <c r="BZ68" s="177"/>
      <c r="CA68" s="177"/>
      <c r="CB68" s="177"/>
      <c r="CC68" s="177"/>
      <c r="CD68" s="177"/>
      <c r="CE68" s="177"/>
      <c r="CF68" s="177"/>
      <c r="CG68" s="177"/>
      <c r="CH68" s="177"/>
      <c r="CI68" s="177"/>
      <c r="CJ68" s="177"/>
      <c r="CK68" s="177"/>
      <c r="CL68" s="177"/>
      <c r="CM68" s="177"/>
      <c r="CN68" s="177"/>
      <c r="CO68" s="177"/>
      <c r="CP68" s="177"/>
      <c r="CQ68" s="87"/>
      <c r="CR68" s="87"/>
      <c r="CS68" s="87"/>
      <c r="CT68" s="87"/>
      <c r="CU68" s="87"/>
      <c r="CV68" s="87"/>
      <c r="CW68" s="87"/>
    </row>
    <row r="69" spans="1:101" s="176" customFormat="1" outlineLevel="2">
      <c r="A69" s="174"/>
      <c r="B69" s="352">
        <v>7</v>
      </c>
      <c r="C69" s="353"/>
      <c r="D69" s="388" t="s">
        <v>197</v>
      </c>
      <c r="E69" s="388"/>
      <c r="F69" s="388"/>
      <c r="G69" s="388"/>
      <c r="H69" s="388"/>
      <c r="I69" s="388"/>
      <c r="J69" s="388"/>
      <c r="K69" s="388"/>
      <c r="L69" s="388"/>
      <c r="M69" s="388"/>
      <c r="N69" s="388"/>
      <c r="O69" s="388"/>
      <c r="P69" s="407">
        <v>40000</v>
      </c>
      <c r="Q69" s="407"/>
      <c r="R69" s="407"/>
      <c r="S69" s="407"/>
      <c r="T69" s="407"/>
      <c r="U69" s="407"/>
      <c r="V69" s="407"/>
      <c r="W69" s="407"/>
      <c r="X69" s="408">
        <v>1</v>
      </c>
      <c r="Y69" s="408"/>
      <c r="Z69" s="408"/>
      <c r="AA69" s="408"/>
      <c r="AB69" s="408"/>
      <c r="AC69" s="408"/>
      <c r="AD69" s="408"/>
      <c r="AE69" s="408"/>
      <c r="AF69" s="423">
        <v>3</v>
      </c>
      <c r="AG69" s="424"/>
      <c r="AH69" s="424"/>
      <c r="AI69" s="424"/>
      <c r="AJ69" s="424"/>
      <c r="AK69" s="424"/>
      <c r="AL69" s="424"/>
      <c r="AM69" s="425"/>
      <c r="AN69" s="407">
        <v>0</v>
      </c>
      <c r="AO69" s="407"/>
      <c r="AP69" s="407"/>
      <c r="AQ69" s="407"/>
      <c r="AR69" s="407"/>
      <c r="AS69" s="407"/>
      <c r="AT69" s="407"/>
      <c r="AU69" s="407"/>
      <c r="AV69" s="407">
        <v>0</v>
      </c>
      <c r="AW69" s="407"/>
      <c r="AX69" s="407"/>
      <c r="AY69" s="407"/>
      <c r="AZ69" s="407"/>
      <c r="BA69" s="407"/>
      <c r="BB69" s="407"/>
      <c r="BC69" s="407"/>
      <c r="BD69" s="426">
        <f t="shared" si="5"/>
        <v>120000</v>
      </c>
      <c r="BE69" s="426"/>
      <c r="BF69" s="426"/>
      <c r="BG69" s="426"/>
      <c r="BH69" s="426"/>
      <c r="BI69" s="426"/>
      <c r="BJ69" s="426"/>
      <c r="BK69" s="426"/>
      <c r="BL69" s="174"/>
      <c r="BN69" s="177"/>
      <c r="BO69" s="177"/>
      <c r="BP69" s="177"/>
      <c r="BQ69" s="177"/>
      <c r="BR69" s="177"/>
      <c r="BS69" s="177"/>
      <c r="BT69" s="177"/>
      <c r="BU69" s="177"/>
      <c r="BV69" s="177"/>
      <c r="BW69" s="177"/>
      <c r="BX69" s="177"/>
      <c r="BY69" s="177"/>
      <c r="BZ69" s="177"/>
      <c r="CA69" s="177"/>
      <c r="CB69" s="177"/>
      <c r="CC69" s="177"/>
      <c r="CD69" s="177"/>
      <c r="CE69" s="177"/>
      <c r="CF69" s="177"/>
      <c r="CG69" s="177"/>
      <c r="CH69" s="177"/>
      <c r="CI69" s="177"/>
      <c r="CJ69" s="177"/>
      <c r="CK69" s="177"/>
      <c r="CL69" s="177"/>
      <c r="CM69" s="177"/>
      <c r="CN69" s="177"/>
      <c r="CO69" s="177"/>
      <c r="CP69" s="177"/>
      <c r="CQ69" s="87"/>
      <c r="CR69" s="87"/>
      <c r="CS69" s="87"/>
      <c r="CT69" s="87"/>
      <c r="CU69" s="87"/>
      <c r="CV69" s="87"/>
      <c r="CW69" s="87"/>
    </row>
    <row r="70" spans="1:101" s="176" customFormat="1" outlineLevel="2">
      <c r="A70" s="174"/>
      <c r="B70" s="352">
        <v>8</v>
      </c>
      <c r="C70" s="353"/>
      <c r="D70" s="388" t="s">
        <v>198</v>
      </c>
      <c r="E70" s="388"/>
      <c r="F70" s="388"/>
      <c r="G70" s="388"/>
      <c r="H70" s="388"/>
      <c r="I70" s="388"/>
      <c r="J70" s="388"/>
      <c r="K70" s="388"/>
      <c r="L70" s="388"/>
      <c r="M70" s="388"/>
      <c r="N70" s="388"/>
      <c r="O70" s="388"/>
      <c r="P70" s="407">
        <v>0</v>
      </c>
      <c r="Q70" s="407"/>
      <c r="R70" s="407"/>
      <c r="S70" s="407"/>
      <c r="T70" s="407"/>
      <c r="U70" s="407"/>
      <c r="V70" s="407"/>
      <c r="W70" s="407"/>
      <c r="X70" s="408">
        <v>0</v>
      </c>
      <c r="Y70" s="408"/>
      <c r="Z70" s="408"/>
      <c r="AA70" s="408"/>
      <c r="AB70" s="408"/>
      <c r="AC70" s="408"/>
      <c r="AD70" s="408"/>
      <c r="AE70" s="408"/>
      <c r="AF70" s="423">
        <f t="shared" si="4"/>
        <v>2.5</v>
      </c>
      <c r="AG70" s="424"/>
      <c r="AH70" s="424"/>
      <c r="AI70" s="424"/>
      <c r="AJ70" s="424"/>
      <c r="AK70" s="424"/>
      <c r="AL70" s="424"/>
      <c r="AM70" s="425"/>
      <c r="AN70" s="407">
        <v>0</v>
      </c>
      <c r="AO70" s="407"/>
      <c r="AP70" s="407"/>
      <c r="AQ70" s="407"/>
      <c r="AR70" s="407"/>
      <c r="AS70" s="407"/>
      <c r="AT70" s="407"/>
      <c r="AU70" s="407"/>
      <c r="AV70" s="407">
        <v>0</v>
      </c>
      <c r="AW70" s="407"/>
      <c r="AX70" s="407"/>
      <c r="AY70" s="407"/>
      <c r="AZ70" s="407"/>
      <c r="BA70" s="407"/>
      <c r="BB70" s="407"/>
      <c r="BC70" s="407"/>
      <c r="BD70" s="382">
        <f t="shared" si="5"/>
        <v>0</v>
      </c>
      <c r="BE70" s="382"/>
      <c r="BF70" s="382"/>
      <c r="BG70" s="382"/>
      <c r="BH70" s="382"/>
      <c r="BI70" s="382"/>
      <c r="BJ70" s="382"/>
      <c r="BK70" s="382"/>
      <c r="BL70" s="174"/>
      <c r="BN70" s="177"/>
      <c r="BO70" s="177"/>
      <c r="BP70" s="177"/>
      <c r="BQ70" s="177"/>
      <c r="BR70" s="177"/>
      <c r="BS70" s="177"/>
      <c r="BT70" s="177"/>
      <c r="BU70" s="177"/>
      <c r="BV70" s="177"/>
      <c r="BW70" s="177"/>
      <c r="BX70" s="177"/>
      <c r="BY70" s="177"/>
      <c r="BZ70" s="177"/>
      <c r="CA70" s="177"/>
      <c r="CB70" s="177"/>
      <c r="CC70" s="177"/>
      <c r="CD70" s="177"/>
      <c r="CE70" s="177"/>
      <c r="CF70" s="177"/>
      <c r="CG70" s="177"/>
      <c r="CH70" s="177"/>
      <c r="CI70" s="177"/>
      <c r="CJ70" s="177"/>
      <c r="CK70" s="177"/>
      <c r="CL70" s="177"/>
      <c r="CM70" s="177"/>
      <c r="CN70" s="177"/>
      <c r="CO70" s="177"/>
      <c r="CP70" s="177"/>
      <c r="CQ70" s="87"/>
      <c r="CR70" s="87"/>
      <c r="CS70" s="87"/>
      <c r="CT70" s="87"/>
      <c r="CU70" s="87"/>
      <c r="CV70" s="87"/>
      <c r="CW70" s="87"/>
    </row>
    <row r="71" spans="1:101" s="176" customFormat="1" outlineLevel="2">
      <c r="A71" s="174"/>
      <c r="B71" s="352">
        <v>9</v>
      </c>
      <c r="C71" s="353"/>
      <c r="D71" s="388" t="s">
        <v>199</v>
      </c>
      <c r="E71" s="388"/>
      <c r="F71" s="388"/>
      <c r="G71" s="388"/>
      <c r="H71" s="388"/>
      <c r="I71" s="388"/>
      <c r="J71" s="388"/>
      <c r="K71" s="388"/>
      <c r="L71" s="388"/>
      <c r="M71" s="388"/>
      <c r="N71" s="388"/>
      <c r="O71" s="388"/>
      <c r="P71" s="407">
        <v>0</v>
      </c>
      <c r="Q71" s="407"/>
      <c r="R71" s="407"/>
      <c r="S71" s="407"/>
      <c r="T71" s="407"/>
      <c r="U71" s="407"/>
      <c r="V71" s="407"/>
      <c r="W71" s="407"/>
      <c r="X71" s="408">
        <v>0</v>
      </c>
      <c r="Y71" s="408"/>
      <c r="Z71" s="408"/>
      <c r="AA71" s="408"/>
      <c r="AB71" s="408"/>
      <c r="AC71" s="408"/>
      <c r="AD71" s="408"/>
      <c r="AE71" s="408"/>
      <c r="AF71" s="423">
        <f t="shared" si="4"/>
        <v>2.5</v>
      </c>
      <c r="AG71" s="424"/>
      <c r="AH71" s="424"/>
      <c r="AI71" s="424"/>
      <c r="AJ71" s="424"/>
      <c r="AK71" s="424"/>
      <c r="AL71" s="424"/>
      <c r="AM71" s="425"/>
      <c r="AN71" s="407">
        <v>0</v>
      </c>
      <c r="AO71" s="407"/>
      <c r="AP71" s="407"/>
      <c r="AQ71" s="407"/>
      <c r="AR71" s="407"/>
      <c r="AS71" s="407"/>
      <c r="AT71" s="407"/>
      <c r="AU71" s="407"/>
      <c r="AV71" s="407">
        <v>0</v>
      </c>
      <c r="AW71" s="407"/>
      <c r="AX71" s="407"/>
      <c r="AY71" s="407"/>
      <c r="AZ71" s="407"/>
      <c r="BA71" s="407"/>
      <c r="BB71" s="407"/>
      <c r="BC71" s="407"/>
      <c r="BD71" s="382">
        <f t="shared" si="5"/>
        <v>0</v>
      </c>
      <c r="BE71" s="382"/>
      <c r="BF71" s="382"/>
      <c r="BG71" s="382"/>
      <c r="BH71" s="382"/>
      <c r="BI71" s="382"/>
      <c r="BJ71" s="382"/>
      <c r="BK71" s="382"/>
      <c r="BL71" s="174"/>
      <c r="BN71" s="177"/>
      <c r="BO71" s="177"/>
      <c r="BP71" s="177"/>
      <c r="BQ71" s="177"/>
      <c r="BR71" s="177"/>
      <c r="BS71" s="177"/>
      <c r="BT71" s="177"/>
      <c r="BU71" s="177"/>
      <c r="BV71" s="177"/>
      <c r="BW71" s="177"/>
      <c r="BX71" s="177"/>
      <c r="BY71" s="177"/>
      <c r="BZ71" s="177"/>
      <c r="CA71" s="177"/>
      <c r="CB71" s="177"/>
      <c r="CC71" s="177"/>
      <c r="CD71" s="177"/>
      <c r="CE71" s="177"/>
      <c r="CF71" s="177"/>
      <c r="CG71" s="177"/>
      <c r="CH71" s="177"/>
      <c r="CI71" s="177"/>
      <c r="CJ71" s="177"/>
      <c r="CK71" s="177"/>
      <c r="CL71" s="177"/>
      <c r="CM71" s="177"/>
      <c r="CN71" s="177"/>
      <c r="CO71" s="177"/>
      <c r="CP71" s="177"/>
      <c r="CQ71" s="87"/>
      <c r="CR71" s="87"/>
      <c r="CS71" s="87"/>
      <c r="CT71" s="87"/>
      <c r="CU71" s="87"/>
      <c r="CV71" s="87"/>
      <c r="CW71" s="87"/>
    </row>
    <row r="72" spans="1:101" s="176" customFormat="1" outlineLevel="2">
      <c r="A72" s="174"/>
      <c r="B72" s="352">
        <v>10</v>
      </c>
      <c r="C72" s="353"/>
      <c r="D72" s="388" t="s">
        <v>200</v>
      </c>
      <c r="E72" s="388"/>
      <c r="F72" s="388"/>
      <c r="G72" s="388"/>
      <c r="H72" s="388"/>
      <c r="I72" s="388"/>
      <c r="J72" s="388"/>
      <c r="K72" s="388"/>
      <c r="L72" s="388"/>
      <c r="M72" s="388"/>
      <c r="N72" s="388"/>
      <c r="O72" s="388"/>
      <c r="P72" s="407">
        <v>0</v>
      </c>
      <c r="Q72" s="407"/>
      <c r="R72" s="407"/>
      <c r="S72" s="407"/>
      <c r="T72" s="407"/>
      <c r="U72" s="407"/>
      <c r="V72" s="407"/>
      <c r="W72" s="407"/>
      <c r="X72" s="408">
        <v>0</v>
      </c>
      <c r="Y72" s="408"/>
      <c r="Z72" s="408"/>
      <c r="AA72" s="408"/>
      <c r="AB72" s="408"/>
      <c r="AC72" s="408"/>
      <c r="AD72" s="408"/>
      <c r="AE72" s="408"/>
      <c r="AF72" s="423">
        <f t="shared" si="4"/>
        <v>2.5</v>
      </c>
      <c r="AG72" s="424"/>
      <c r="AH72" s="424"/>
      <c r="AI72" s="424"/>
      <c r="AJ72" s="424"/>
      <c r="AK72" s="424"/>
      <c r="AL72" s="424"/>
      <c r="AM72" s="425"/>
      <c r="AN72" s="407">
        <v>0</v>
      </c>
      <c r="AO72" s="407"/>
      <c r="AP72" s="407"/>
      <c r="AQ72" s="407"/>
      <c r="AR72" s="407"/>
      <c r="AS72" s="407"/>
      <c r="AT72" s="407"/>
      <c r="AU72" s="407"/>
      <c r="AV72" s="407">
        <v>0</v>
      </c>
      <c r="AW72" s="407"/>
      <c r="AX72" s="407"/>
      <c r="AY72" s="407"/>
      <c r="AZ72" s="407"/>
      <c r="BA72" s="407"/>
      <c r="BB72" s="407"/>
      <c r="BC72" s="407"/>
      <c r="BD72" s="382">
        <f t="shared" si="5"/>
        <v>0</v>
      </c>
      <c r="BE72" s="382"/>
      <c r="BF72" s="382"/>
      <c r="BG72" s="382"/>
      <c r="BH72" s="382"/>
      <c r="BI72" s="382"/>
      <c r="BJ72" s="382"/>
      <c r="BK72" s="382"/>
      <c r="BL72" s="174"/>
      <c r="BN72" s="177"/>
      <c r="BO72" s="177"/>
      <c r="BP72" s="177"/>
      <c r="BQ72" s="177"/>
      <c r="BR72" s="177"/>
      <c r="BS72" s="177"/>
      <c r="BT72" s="177"/>
      <c r="BU72" s="177"/>
      <c r="BV72" s="177"/>
      <c r="BW72" s="177"/>
      <c r="BX72" s="177"/>
      <c r="BY72" s="177"/>
      <c r="BZ72" s="177"/>
      <c r="CA72" s="177"/>
      <c r="CB72" s="177"/>
      <c r="CC72" s="177"/>
      <c r="CD72" s="177"/>
      <c r="CE72" s="177"/>
      <c r="CF72" s="177"/>
      <c r="CG72" s="177"/>
      <c r="CH72" s="177"/>
      <c r="CI72" s="177"/>
      <c r="CJ72" s="177"/>
      <c r="CK72" s="177"/>
      <c r="CL72" s="177"/>
      <c r="CM72" s="177"/>
      <c r="CN72" s="177"/>
      <c r="CO72" s="177"/>
      <c r="CP72" s="177"/>
      <c r="CQ72" s="87"/>
      <c r="CR72" s="87"/>
      <c r="CS72" s="87"/>
      <c r="CT72" s="87"/>
      <c r="CU72" s="87"/>
      <c r="CV72" s="87"/>
      <c r="CW72" s="87"/>
    </row>
    <row r="73" spans="1:101" s="176" customFormat="1" outlineLevel="2">
      <c r="A73" s="174"/>
      <c r="B73" s="352">
        <v>11</v>
      </c>
      <c r="C73" s="353"/>
      <c r="D73" s="388" t="s">
        <v>201</v>
      </c>
      <c r="E73" s="388"/>
      <c r="F73" s="388"/>
      <c r="G73" s="388"/>
      <c r="H73" s="388"/>
      <c r="I73" s="388"/>
      <c r="J73" s="388"/>
      <c r="K73" s="388"/>
      <c r="L73" s="388"/>
      <c r="M73" s="388"/>
      <c r="N73" s="388"/>
      <c r="O73" s="388"/>
      <c r="P73" s="407">
        <v>0</v>
      </c>
      <c r="Q73" s="407"/>
      <c r="R73" s="407"/>
      <c r="S73" s="407"/>
      <c r="T73" s="407"/>
      <c r="U73" s="407"/>
      <c r="V73" s="407"/>
      <c r="W73" s="407"/>
      <c r="X73" s="408">
        <v>0</v>
      </c>
      <c r="Y73" s="408"/>
      <c r="Z73" s="408"/>
      <c r="AA73" s="408"/>
      <c r="AB73" s="408"/>
      <c r="AC73" s="408"/>
      <c r="AD73" s="408"/>
      <c r="AE73" s="408"/>
      <c r="AF73" s="423">
        <f t="shared" si="4"/>
        <v>2.5</v>
      </c>
      <c r="AG73" s="424"/>
      <c r="AH73" s="424"/>
      <c r="AI73" s="424"/>
      <c r="AJ73" s="424"/>
      <c r="AK73" s="424"/>
      <c r="AL73" s="424"/>
      <c r="AM73" s="425"/>
      <c r="AN73" s="407">
        <v>0</v>
      </c>
      <c r="AO73" s="407"/>
      <c r="AP73" s="407"/>
      <c r="AQ73" s="407"/>
      <c r="AR73" s="407"/>
      <c r="AS73" s="407"/>
      <c r="AT73" s="407"/>
      <c r="AU73" s="407"/>
      <c r="AV73" s="407">
        <v>0</v>
      </c>
      <c r="AW73" s="407"/>
      <c r="AX73" s="407"/>
      <c r="AY73" s="407"/>
      <c r="AZ73" s="407"/>
      <c r="BA73" s="407"/>
      <c r="BB73" s="407"/>
      <c r="BC73" s="407"/>
      <c r="BD73" s="382">
        <f t="shared" si="5"/>
        <v>0</v>
      </c>
      <c r="BE73" s="382"/>
      <c r="BF73" s="382"/>
      <c r="BG73" s="382"/>
      <c r="BH73" s="382"/>
      <c r="BI73" s="382"/>
      <c r="BJ73" s="382"/>
      <c r="BK73" s="382"/>
      <c r="BL73" s="174"/>
      <c r="BN73" s="177"/>
      <c r="BO73" s="177"/>
      <c r="BP73" s="177"/>
      <c r="BQ73" s="177"/>
      <c r="BR73" s="177"/>
      <c r="BS73" s="177"/>
      <c r="BT73" s="177"/>
      <c r="BU73" s="177"/>
      <c r="BV73" s="177"/>
      <c r="BW73" s="177"/>
      <c r="BX73" s="177"/>
      <c r="BY73" s="177"/>
      <c r="BZ73" s="177"/>
      <c r="CA73" s="177"/>
      <c r="CB73" s="177"/>
      <c r="CC73" s="177"/>
      <c r="CD73" s="177"/>
      <c r="CE73" s="177"/>
      <c r="CF73" s="177"/>
      <c r="CG73" s="177"/>
      <c r="CH73" s="177"/>
      <c r="CI73" s="177"/>
      <c r="CJ73" s="177"/>
      <c r="CK73" s="177"/>
      <c r="CL73" s="177"/>
      <c r="CM73" s="177"/>
      <c r="CN73" s="177"/>
      <c r="CO73" s="177"/>
      <c r="CP73" s="177"/>
      <c r="CQ73" s="87"/>
      <c r="CR73" s="87"/>
      <c r="CS73" s="87"/>
      <c r="CT73" s="87"/>
      <c r="CU73" s="87"/>
      <c r="CV73" s="87"/>
      <c r="CW73" s="87"/>
    </row>
    <row r="74" spans="1:101" s="176" customFormat="1" outlineLevel="2">
      <c r="A74" s="174"/>
      <c r="B74" s="352">
        <v>12</v>
      </c>
      <c r="C74" s="353"/>
      <c r="D74" s="388" t="s">
        <v>202</v>
      </c>
      <c r="E74" s="388"/>
      <c r="F74" s="388"/>
      <c r="G74" s="388"/>
      <c r="H74" s="388"/>
      <c r="I74" s="388"/>
      <c r="J74" s="388"/>
      <c r="K74" s="388"/>
      <c r="L74" s="388"/>
      <c r="M74" s="388"/>
      <c r="N74" s="388"/>
      <c r="O74" s="388"/>
      <c r="P74" s="407">
        <v>3500</v>
      </c>
      <c r="Q74" s="407"/>
      <c r="R74" s="407"/>
      <c r="S74" s="407"/>
      <c r="T74" s="407"/>
      <c r="U74" s="407"/>
      <c r="V74" s="407"/>
      <c r="W74" s="407"/>
      <c r="X74" s="408">
        <v>1</v>
      </c>
      <c r="Y74" s="408"/>
      <c r="Z74" s="408"/>
      <c r="AA74" s="408"/>
      <c r="AB74" s="408"/>
      <c r="AC74" s="408"/>
      <c r="AD74" s="408"/>
      <c r="AE74" s="408"/>
      <c r="AF74" s="419">
        <f t="shared" si="4"/>
        <v>2.5</v>
      </c>
      <c r="AG74" s="420"/>
      <c r="AH74" s="420"/>
      <c r="AI74" s="420"/>
      <c r="AJ74" s="420"/>
      <c r="AK74" s="420"/>
      <c r="AL74" s="420"/>
      <c r="AM74" s="421"/>
      <c r="AN74" s="407">
        <v>0</v>
      </c>
      <c r="AO74" s="407"/>
      <c r="AP74" s="407"/>
      <c r="AQ74" s="407"/>
      <c r="AR74" s="407"/>
      <c r="AS74" s="407"/>
      <c r="AT74" s="407"/>
      <c r="AU74" s="407"/>
      <c r="AV74" s="407">
        <v>0</v>
      </c>
      <c r="AW74" s="407"/>
      <c r="AX74" s="407"/>
      <c r="AY74" s="407"/>
      <c r="AZ74" s="407"/>
      <c r="BA74" s="407"/>
      <c r="BB74" s="407"/>
      <c r="BC74" s="407"/>
      <c r="BD74" s="422">
        <f t="shared" si="5"/>
        <v>8750</v>
      </c>
      <c r="BE74" s="422"/>
      <c r="BF74" s="422"/>
      <c r="BG74" s="422"/>
      <c r="BH74" s="422"/>
      <c r="BI74" s="422"/>
      <c r="BJ74" s="422"/>
      <c r="BK74" s="422"/>
      <c r="BL74" s="174"/>
      <c r="BN74" s="177"/>
      <c r="BO74" s="177"/>
      <c r="BP74" s="177"/>
      <c r="BQ74" s="177"/>
      <c r="BR74" s="177"/>
      <c r="BS74" s="177"/>
      <c r="BT74" s="177"/>
      <c r="BU74" s="177"/>
      <c r="BV74" s="177"/>
      <c r="BW74" s="177"/>
      <c r="BX74" s="177"/>
      <c r="BY74" s="177"/>
      <c r="BZ74" s="177"/>
      <c r="CA74" s="177"/>
      <c r="CB74" s="177"/>
      <c r="CC74" s="177"/>
      <c r="CD74" s="177"/>
      <c r="CE74" s="177"/>
      <c r="CF74" s="177"/>
      <c r="CG74" s="177"/>
      <c r="CH74" s="177"/>
      <c r="CI74" s="177"/>
      <c r="CJ74" s="177"/>
      <c r="CK74" s="177"/>
      <c r="CL74" s="177"/>
      <c r="CM74" s="177"/>
      <c r="CN74" s="177"/>
      <c r="CO74" s="177"/>
      <c r="CP74" s="177"/>
      <c r="CQ74" s="87"/>
      <c r="CR74" s="87"/>
      <c r="CS74" s="87"/>
      <c r="CT74" s="87"/>
      <c r="CU74" s="87"/>
      <c r="CV74" s="87"/>
      <c r="CW74" s="87"/>
    </row>
    <row r="75" spans="1:101" s="176" customFormat="1" outlineLevel="2">
      <c r="A75" s="174"/>
      <c r="B75" s="352">
        <v>13</v>
      </c>
      <c r="C75" s="353"/>
      <c r="D75" s="388" t="s">
        <v>203</v>
      </c>
      <c r="E75" s="388"/>
      <c r="F75" s="388"/>
      <c r="G75" s="388"/>
      <c r="H75" s="388"/>
      <c r="I75" s="388"/>
      <c r="J75" s="388"/>
      <c r="K75" s="388"/>
      <c r="L75" s="388"/>
      <c r="M75" s="388"/>
      <c r="N75" s="388"/>
      <c r="O75" s="388"/>
      <c r="P75" s="407">
        <v>10000</v>
      </c>
      <c r="Q75" s="407"/>
      <c r="R75" s="407"/>
      <c r="S75" s="407"/>
      <c r="T75" s="407"/>
      <c r="U75" s="407"/>
      <c r="V75" s="407"/>
      <c r="W75" s="407"/>
      <c r="X75" s="408">
        <v>1</v>
      </c>
      <c r="Y75" s="408"/>
      <c r="Z75" s="408"/>
      <c r="AA75" s="408"/>
      <c r="AB75" s="408"/>
      <c r="AC75" s="408"/>
      <c r="AD75" s="408"/>
      <c r="AE75" s="408"/>
      <c r="AF75" s="419">
        <f t="shared" si="4"/>
        <v>2.5</v>
      </c>
      <c r="AG75" s="420"/>
      <c r="AH75" s="420"/>
      <c r="AI75" s="420"/>
      <c r="AJ75" s="420"/>
      <c r="AK75" s="420"/>
      <c r="AL75" s="420"/>
      <c r="AM75" s="421"/>
      <c r="AN75" s="407">
        <v>0</v>
      </c>
      <c r="AO75" s="407"/>
      <c r="AP75" s="407"/>
      <c r="AQ75" s="407"/>
      <c r="AR75" s="407"/>
      <c r="AS75" s="407"/>
      <c r="AT75" s="407"/>
      <c r="AU75" s="407"/>
      <c r="AV75" s="407">
        <v>0</v>
      </c>
      <c r="AW75" s="407"/>
      <c r="AX75" s="407"/>
      <c r="AY75" s="407"/>
      <c r="AZ75" s="407"/>
      <c r="BA75" s="407"/>
      <c r="BB75" s="407"/>
      <c r="BC75" s="407"/>
      <c r="BD75" s="418">
        <f t="shared" si="5"/>
        <v>25000</v>
      </c>
      <c r="BE75" s="418"/>
      <c r="BF75" s="418"/>
      <c r="BG75" s="418"/>
      <c r="BH75" s="418"/>
      <c r="BI75" s="418"/>
      <c r="BJ75" s="418"/>
      <c r="BK75" s="418"/>
      <c r="BL75" s="174"/>
      <c r="BN75" s="177"/>
      <c r="BO75" s="177"/>
      <c r="BP75" s="177"/>
      <c r="BQ75" s="177"/>
      <c r="BR75" s="177"/>
      <c r="BS75" s="177"/>
      <c r="BT75" s="177"/>
      <c r="BU75" s="177"/>
      <c r="BV75" s="177"/>
      <c r="BW75" s="177"/>
      <c r="BX75" s="177"/>
      <c r="BY75" s="177"/>
      <c r="BZ75" s="177"/>
      <c r="CA75" s="177"/>
      <c r="CB75" s="177"/>
      <c r="CC75" s="177"/>
      <c r="CD75" s="177"/>
      <c r="CE75" s="177"/>
      <c r="CF75" s="177"/>
      <c r="CG75" s="177"/>
      <c r="CH75" s="177"/>
      <c r="CI75" s="177"/>
      <c r="CJ75" s="177"/>
      <c r="CK75" s="177"/>
      <c r="CL75" s="177"/>
      <c r="CM75" s="177"/>
      <c r="CN75" s="177"/>
      <c r="CO75" s="177"/>
      <c r="CP75" s="177"/>
      <c r="CQ75" s="87"/>
      <c r="CR75" s="87"/>
      <c r="CS75" s="87"/>
      <c r="CT75" s="87"/>
      <c r="CU75" s="87"/>
      <c r="CV75" s="87"/>
      <c r="CW75" s="87"/>
    </row>
    <row r="76" spans="1:101" s="176" customFormat="1" outlineLevel="2">
      <c r="A76" s="174"/>
      <c r="B76" s="352">
        <v>14</v>
      </c>
      <c r="C76" s="353"/>
      <c r="D76" s="388" t="s">
        <v>204</v>
      </c>
      <c r="E76" s="388"/>
      <c r="F76" s="388"/>
      <c r="G76" s="388"/>
      <c r="H76" s="388"/>
      <c r="I76" s="388"/>
      <c r="J76" s="388"/>
      <c r="K76" s="388"/>
      <c r="L76" s="388"/>
      <c r="M76" s="388"/>
      <c r="N76" s="388"/>
      <c r="O76" s="388"/>
      <c r="P76" s="407">
        <v>5000</v>
      </c>
      <c r="Q76" s="407"/>
      <c r="R76" s="407"/>
      <c r="S76" s="407"/>
      <c r="T76" s="407"/>
      <c r="U76" s="407"/>
      <c r="V76" s="407"/>
      <c r="W76" s="407"/>
      <c r="X76" s="408">
        <v>1</v>
      </c>
      <c r="Y76" s="408"/>
      <c r="Z76" s="408"/>
      <c r="AA76" s="408"/>
      <c r="AB76" s="408"/>
      <c r="AC76" s="408"/>
      <c r="AD76" s="408"/>
      <c r="AE76" s="408"/>
      <c r="AF76" s="419">
        <f t="shared" si="4"/>
        <v>2.5</v>
      </c>
      <c r="AG76" s="420"/>
      <c r="AH76" s="420"/>
      <c r="AI76" s="420"/>
      <c r="AJ76" s="420"/>
      <c r="AK76" s="420"/>
      <c r="AL76" s="420"/>
      <c r="AM76" s="421"/>
      <c r="AN76" s="407">
        <v>0</v>
      </c>
      <c r="AO76" s="407"/>
      <c r="AP76" s="407"/>
      <c r="AQ76" s="407"/>
      <c r="AR76" s="407"/>
      <c r="AS76" s="407"/>
      <c r="AT76" s="407"/>
      <c r="AU76" s="407"/>
      <c r="AV76" s="407">
        <v>0</v>
      </c>
      <c r="AW76" s="407"/>
      <c r="AX76" s="407"/>
      <c r="AY76" s="407"/>
      <c r="AZ76" s="407"/>
      <c r="BA76" s="407"/>
      <c r="BB76" s="407"/>
      <c r="BC76" s="407"/>
      <c r="BD76" s="418">
        <f t="shared" si="5"/>
        <v>12500</v>
      </c>
      <c r="BE76" s="418"/>
      <c r="BF76" s="418"/>
      <c r="BG76" s="418"/>
      <c r="BH76" s="418"/>
      <c r="BI76" s="418"/>
      <c r="BJ76" s="418"/>
      <c r="BK76" s="418"/>
      <c r="BL76" s="174"/>
      <c r="BN76" s="177"/>
      <c r="BO76" s="177"/>
      <c r="BP76" s="177"/>
      <c r="BQ76" s="177"/>
      <c r="BR76" s="177"/>
      <c r="BS76" s="177"/>
      <c r="BT76" s="177"/>
      <c r="BU76" s="177"/>
      <c r="BV76" s="177"/>
      <c r="BW76" s="177"/>
      <c r="BX76" s="177"/>
      <c r="BY76" s="177"/>
      <c r="BZ76" s="177"/>
      <c r="CA76" s="177"/>
      <c r="CB76" s="177"/>
      <c r="CC76" s="177"/>
      <c r="CD76" s="177"/>
      <c r="CE76" s="177"/>
      <c r="CF76" s="177"/>
      <c r="CG76" s="177"/>
      <c r="CH76" s="177"/>
      <c r="CI76" s="177"/>
      <c r="CJ76" s="177"/>
      <c r="CK76" s="177"/>
      <c r="CL76" s="177"/>
      <c r="CM76" s="177"/>
      <c r="CN76" s="177"/>
      <c r="CO76" s="177"/>
      <c r="CP76" s="177"/>
      <c r="CQ76" s="87"/>
      <c r="CR76" s="87"/>
      <c r="CS76" s="87"/>
      <c r="CT76" s="87"/>
      <c r="CU76" s="87"/>
      <c r="CV76" s="87"/>
      <c r="CW76" s="87"/>
    </row>
    <row r="77" spans="1:101" s="176" customFormat="1" ht="6.95" customHeight="1" outlineLevel="1">
      <c r="A77" s="174"/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  <c r="AD77" s="174"/>
      <c r="AE77" s="174"/>
      <c r="AF77" s="174"/>
      <c r="AG77" s="174"/>
      <c r="AH77" s="174"/>
      <c r="AI77" s="174"/>
      <c r="AJ77" s="174"/>
      <c r="AK77" s="174"/>
      <c r="AL77" s="174"/>
      <c r="AM77" s="174"/>
      <c r="AN77" s="174"/>
      <c r="AO77" s="174"/>
      <c r="AP77" s="174"/>
      <c r="AQ77" s="174"/>
      <c r="AR77" s="174"/>
      <c r="AS77" s="174"/>
      <c r="AT77" s="174"/>
      <c r="AU77" s="174"/>
      <c r="AV77" s="174"/>
      <c r="AW77" s="174"/>
      <c r="AX77" s="174"/>
      <c r="AY77" s="174"/>
      <c r="AZ77" s="174"/>
      <c r="BA77" s="174"/>
      <c r="BB77" s="174"/>
      <c r="BC77" s="174"/>
      <c r="BD77" s="174"/>
      <c r="BE77" s="174"/>
      <c r="BF77" s="174"/>
      <c r="BG77" s="174"/>
      <c r="BH77" s="174"/>
      <c r="BI77" s="174"/>
      <c r="BJ77" s="174"/>
      <c r="BK77" s="174"/>
      <c r="BL77" s="174"/>
      <c r="BN77" s="177"/>
      <c r="BO77" s="177"/>
      <c r="BP77" s="177"/>
      <c r="BQ77" s="177"/>
      <c r="BR77" s="177"/>
      <c r="BS77" s="177"/>
      <c r="BT77" s="177"/>
      <c r="BU77" s="177"/>
      <c r="BV77" s="177"/>
      <c r="BW77" s="177"/>
      <c r="BX77" s="177"/>
      <c r="BY77" s="177"/>
      <c r="BZ77" s="177"/>
      <c r="CA77" s="177"/>
      <c r="CB77" s="177"/>
      <c r="CC77" s="177"/>
      <c r="CD77" s="177"/>
      <c r="CE77" s="177"/>
      <c r="CF77" s="177"/>
      <c r="CG77" s="177"/>
      <c r="CH77" s="177"/>
      <c r="CI77" s="177"/>
      <c r="CJ77" s="177"/>
      <c r="CK77" s="177"/>
      <c r="CL77" s="177"/>
      <c r="CM77" s="177"/>
      <c r="CN77" s="177"/>
      <c r="CO77" s="177"/>
      <c r="CP77" s="177"/>
      <c r="CQ77" s="87"/>
      <c r="CR77" s="87"/>
      <c r="CS77" s="87"/>
      <c r="CT77" s="87"/>
      <c r="CU77" s="87"/>
      <c r="CV77" s="87"/>
      <c r="CW77" s="87"/>
    </row>
    <row r="78" spans="1:101" s="176" customFormat="1" outlineLevel="1">
      <c r="A78" s="174"/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383" t="s">
        <v>178</v>
      </c>
      <c r="AC78" s="383"/>
      <c r="AD78" s="383"/>
      <c r="AE78" s="383" t="str">
        <f>B60</f>
        <v>1.2. Depreciación, mantenimiento y rentas</v>
      </c>
      <c r="AF78" s="383"/>
      <c r="AG78" s="383"/>
      <c r="AH78" s="383"/>
      <c r="AI78" s="383"/>
      <c r="AJ78" s="383"/>
      <c r="AK78" s="383"/>
      <c r="AL78" s="383"/>
      <c r="AM78" s="383"/>
      <c r="AN78" s="383"/>
      <c r="AO78" s="383"/>
      <c r="AP78" s="383"/>
      <c r="AQ78" s="383"/>
      <c r="AR78" s="383"/>
      <c r="AS78" s="383"/>
      <c r="AT78" s="383"/>
      <c r="AU78" s="383"/>
      <c r="AV78" s="403">
        <f>SUM(BD63:BK76)</f>
        <v>296000</v>
      </c>
      <c r="AW78" s="403"/>
      <c r="AX78" s="403"/>
      <c r="AY78" s="403"/>
      <c r="AZ78" s="403"/>
      <c r="BA78" s="403"/>
      <c r="BB78" s="403"/>
      <c r="BC78" s="403"/>
      <c r="BD78" s="387">
        <f>AV78/$AW$215</f>
        <v>3.2756689713839424E-2</v>
      </c>
      <c r="BE78" s="387"/>
      <c r="BF78" s="387"/>
      <c r="BG78" s="387"/>
      <c r="BH78" s="387"/>
      <c r="BI78" s="387" t="s">
        <v>179</v>
      </c>
      <c r="BJ78" s="387"/>
      <c r="BK78" s="387"/>
      <c r="BL78" s="174"/>
      <c r="BN78" s="177"/>
      <c r="BO78" s="177"/>
      <c r="BP78" s="177"/>
      <c r="BQ78" s="177"/>
      <c r="BR78" s="177"/>
      <c r="BS78" s="177"/>
      <c r="BT78" s="177"/>
      <c r="BU78" s="177"/>
      <c r="BV78" s="177"/>
      <c r="BW78" s="177"/>
      <c r="BX78" s="177"/>
      <c r="BY78" s="177"/>
      <c r="BZ78" s="177"/>
      <c r="CA78" s="177"/>
      <c r="CB78" s="177"/>
      <c r="CC78" s="177"/>
      <c r="CD78" s="177"/>
      <c r="CE78" s="177"/>
      <c r="CF78" s="177"/>
      <c r="CG78" s="177"/>
      <c r="CH78" s="177"/>
      <c r="CI78" s="177"/>
      <c r="CJ78" s="177"/>
      <c r="CK78" s="177"/>
      <c r="CL78" s="177"/>
      <c r="CM78" s="177"/>
      <c r="CN78" s="177"/>
      <c r="CO78" s="177"/>
      <c r="CP78" s="177"/>
      <c r="CQ78" s="87"/>
      <c r="CR78" s="87"/>
      <c r="CS78" s="87"/>
      <c r="CT78" s="87"/>
      <c r="CU78" s="87"/>
      <c r="CV78" s="87"/>
      <c r="CW78" s="87"/>
    </row>
    <row r="79" spans="1:101" s="176" customFormat="1" ht="6.95" customHeight="1" outlineLevel="1">
      <c r="A79" s="174"/>
      <c r="B79" s="174"/>
      <c r="C79" s="174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74"/>
      <c r="AI79" s="174"/>
      <c r="AJ79" s="174"/>
      <c r="AK79" s="174"/>
      <c r="AL79" s="174"/>
      <c r="AM79" s="174"/>
      <c r="AN79" s="174"/>
      <c r="AO79" s="174"/>
      <c r="AP79" s="174"/>
      <c r="AQ79" s="174"/>
      <c r="AR79" s="174"/>
      <c r="AS79" s="174"/>
      <c r="AT79" s="174"/>
      <c r="AU79" s="174"/>
      <c r="AV79" s="174"/>
      <c r="AW79" s="174"/>
      <c r="AX79" s="174"/>
      <c r="AY79" s="174"/>
      <c r="AZ79" s="174"/>
      <c r="BA79" s="174"/>
      <c r="BB79" s="174"/>
      <c r="BC79" s="174"/>
      <c r="BD79" s="174"/>
      <c r="BE79" s="174"/>
      <c r="BF79" s="174"/>
      <c r="BG79" s="174"/>
      <c r="BH79" s="174"/>
      <c r="BI79" s="174"/>
      <c r="BJ79" s="174"/>
      <c r="BK79" s="174"/>
      <c r="BL79" s="174"/>
      <c r="BN79" s="177"/>
      <c r="BO79" s="177"/>
      <c r="BP79" s="177"/>
      <c r="BQ79" s="177"/>
      <c r="BR79" s="177"/>
      <c r="BS79" s="177"/>
      <c r="BT79" s="177"/>
      <c r="BU79" s="177"/>
      <c r="BV79" s="177"/>
      <c r="BW79" s="177"/>
      <c r="BX79" s="177"/>
      <c r="BY79" s="177"/>
      <c r="BZ79" s="177"/>
      <c r="CA79" s="177"/>
      <c r="CB79" s="177"/>
      <c r="CC79" s="177"/>
      <c r="CD79" s="177"/>
      <c r="CE79" s="177"/>
      <c r="CF79" s="177"/>
      <c r="CG79" s="177"/>
      <c r="CH79" s="177"/>
      <c r="CI79" s="177"/>
      <c r="CJ79" s="177"/>
      <c r="CK79" s="177"/>
      <c r="CL79" s="177"/>
      <c r="CM79" s="177"/>
      <c r="CN79" s="177"/>
      <c r="CO79" s="177"/>
      <c r="CP79" s="177"/>
      <c r="CQ79" s="87"/>
      <c r="CR79" s="87"/>
      <c r="CS79" s="87"/>
      <c r="CT79" s="87"/>
      <c r="CU79" s="87"/>
      <c r="CV79" s="87"/>
      <c r="CW79" s="87"/>
    </row>
    <row r="80" spans="1:101" s="176" customFormat="1" outlineLevel="1">
      <c r="A80" s="174"/>
      <c r="B80" s="185" t="s">
        <v>205</v>
      </c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  <c r="AD80" s="174"/>
      <c r="AE80" s="174"/>
      <c r="AF80" s="174"/>
      <c r="AG80" s="174"/>
      <c r="AH80" s="174"/>
      <c r="AI80" s="174"/>
      <c r="AJ80" s="174"/>
      <c r="AK80" s="174"/>
      <c r="AL80" s="174"/>
      <c r="AM80" s="174"/>
      <c r="AN80" s="174"/>
      <c r="AO80" s="174"/>
      <c r="AP80" s="174"/>
      <c r="AQ80" s="174"/>
      <c r="AR80" s="174"/>
      <c r="AS80" s="174"/>
      <c r="AT80" s="174"/>
      <c r="AU80" s="174"/>
      <c r="AV80" s="174"/>
      <c r="AW80" s="174"/>
      <c r="AX80" s="174"/>
      <c r="AY80" s="174"/>
      <c r="AZ80" s="174"/>
      <c r="BA80" s="174"/>
      <c r="BB80" s="174"/>
      <c r="BC80" s="174"/>
      <c r="BD80" s="174"/>
      <c r="BE80" s="174"/>
      <c r="BF80" s="174"/>
      <c r="BG80" s="174"/>
      <c r="BH80" s="174"/>
      <c r="BI80" s="174"/>
      <c r="BJ80" s="174"/>
      <c r="BK80" s="174"/>
      <c r="BL80" s="174"/>
      <c r="BN80" s="177"/>
      <c r="BO80" s="177"/>
      <c r="BP80" s="177"/>
      <c r="BQ80" s="177"/>
      <c r="BR80" s="177"/>
      <c r="BS80" s="177"/>
      <c r="BT80" s="177"/>
      <c r="BU80" s="177"/>
      <c r="BV80" s="177"/>
      <c r="BW80" s="177"/>
      <c r="BX80" s="177"/>
      <c r="BY80" s="177"/>
      <c r="BZ80" s="177"/>
      <c r="CA80" s="177"/>
      <c r="CB80" s="177"/>
      <c r="CC80" s="177"/>
      <c r="CD80" s="177"/>
      <c r="CE80" s="177"/>
      <c r="CF80" s="177"/>
      <c r="CG80" s="177"/>
      <c r="CH80" s="177"/>
      <c r="CI80" s="177"/>
      <c r="CJ80" s="177"/>
      <c r="CK80" s="177"/>
      <c r="CL80" s="177"/>
      <c r="CM80" s="177"/>
      <c r="CN80" s="177"/>
      <c r="CO80" s="177"/>
      <c r="CP80" s="177"/>
      <c r="CQ80" s="87"/>
      <c r="CR80" s="87"/>
      <c r="CS80" s="87"/>
      <c r="CT80" s="87"/>
      <c r="CU80" s="87"/>
      <c r="CV80" s="87"/>
      <c r="CW80" s="87"/>
    </row>
    <row r="81" spans="1:101" s="176" customFormat="1" ht="6.95" customHeight="1" outlineLevel="2">
      <c r="A81" s="174"/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  <c r="AD81" s="174"/>
      <c r="AE81" s="174"/>
      <c r="AF81" s="174"/>
      <c r="AG81" s="174"/>
      <c r="AH81" s="174"/>
      <c r="AI81" s="174"/>
      <c r="AJ81" s="174"/>
      <c r="AK81" s="174"/>
      <c r="AL81" s="174"/>
      <c r="AM81" s="174"/>
      <c r="AN81" s="174"/>
      <c r="AO81" s="174"/>
      <c r="AP81" s="174"/>
      <c r="AQ81" s="174"/>
      <c r="AR81" s="174"/>
      <c r="AS81" s="174"/>
      <c r="AT81" s="174"/>
      <c r="AU81" s="174"/>
      <c r="AV81" s="174"/>
      <c r="AW81" s="174"/>
      <c r="AX81" s="174"/>
      <c r="AY81" s="174"/>
      <c r="AZ81" s="174"/>
      <c r="BA81" s="174"/>
      <c r="BB81" s="174"/>
      <c r="BC81" s="174"/>
      <c r="BD81" s="174"/>
      <c r="BE81" s="174"/>
      <c r="BF81" s="174"/>
      <c r="BG81" s="174"/>
      <c r="BH81" s="174"/>
      <c r="BI81" s="174"/>
      <c r="BJ81" s="174"/>
      <c r="BK81" s="174"/>
      <c r="BL81" s="174"/>
      <c r="BN81" s="177"/>
      <c r="BO81" s="177"/>
      <c r="BP81" s="177"/>
      <c r="BQ81" s="177"/>
      <c r="BR81" s="177"/>
      <c r="BS81" s="177"/>
      <c r="BT81" s="177"/>
      <c r="BU81" s="177"/>
      <c r="BV81" s="177"/>
      <c r="BW81" s="177"/>
      <c r="BX81" s="177"/>
      <c r="BY81" s="177"/>
      <c r="BZ81" s="177"/>
      <c r="CA81" s="177"/>
      <c r="CB81" s="177"/>
      <c r="CC81" s="177"/>
      <c r="CD81" s="177"/>
      <c r="CE81" s="177"/>
      <c r="CF81" s="177"/>
      <c r="CG81" s="177"/>
      <c r="CH81" s="177"/>
      <c r="CI81" s="177"/>
      <c r="CJ81" s="177"/>
      <c r="CK81" s="177"/>
      <c r="CL81" s="177"/>
      <c r="CM81" s="177"/>
      <c r="CN81" s="177"/>
      <c r="CO81" s="177"/>
      <c r="CP81" s="177"/>
      <c r="CQ81" s="87"/>
      <c r="CR81" s="87"/>
      <c r="CS81" s="87"/>
      <c r="CT81" s="87"/>
      <c r="CU81" s="87"/>
      <c r="CV81" s="87"/>
      <c r="CW81" s="87"/>
    </row>
    <row r="82" spans="1:101" s="176" customFormat="1" outlineLevel="2">
      <c r="A82" s="174"/>
      <c r="B82" s="174"/>
      <c r="C82" s="174"/>
      <c r="D82" s="174"/>
      <c r="E82" s="174"/>
      <c r="F82" s="174"/>
      <c r="G82" s="174"/>
      <c r="H82" s="174"/>
      <c r="I82" s="174"/>
      <c r="J82" s="378" t="s">
        <v>153</v>
      </c>
      <c r="K82" s="379"/>
      <c r="L82" s="343" t="s">
        <v>21</v>
      </c>
      <c r="M82" s="343"/>
      <c r="N82" s="343"/>
      <c r="O82" s="343"/>
      <c r="P82" s="343"/>
      <c r="Q82" s="343"/>
      <c r="R82" s="343"/>
      <c r="S82" s="343"/>
      <c r="T82" s="343"/>
      <c r="U82" s="343"/>
      <c r="V82" s="343"/>
      <c r="W82" s="343"/>
      <c r="X82" s="343" t="s">
        <v>182</v>
      </c>
      <c r="Y82" s="343"/>
      <c r="Z82" s="343"/>
      <c r="AA82" s="343"/>
      <c r="AB82" s="343"/>
      <c r="AC82" s="343"/>
      <c r="AD82" s="343"/>
      <c r="AE82" s="343"/>
      <c r="AF82" s="343" t="s">
        <v>184</v>
      </c>
      <c r="AG82" s="343"/>
      <c r="AH82" s="343"/>
      <c r="AI82" s="343"/>
      <c r="AJ82" s="343"/>
      <c r="AK82" s="343"/>
      <c r="AL82" s="343"/>
      <c r="AM82" s="343"/>
      <c r="AN82" s="343" t="s">
        <v>191</v>
      </c>
      <c r="AO82" s="343"/>
      <c r="AP82" s="343"/>
      <c r="AQ82" s="343"/>
      <c r="AR82" s="343"/>
      <c r="AS82" s="343"/>
      <c r="AT82" s="343"/>
      <c r="AU82" s="343"/>
      <c r="AV82" s="343" t="s">
        <v>62</v>
      </c>
      <c r="AW82" s="343"/>
      <c r="AX82" s="343"/>
      <c r="AY82" s="343"/>
      <c r="AZ82" s="343"/>
      <c r="BA82" s="343"/>
      <c r="BB82" s="343"/>
      <c r="BC82" s="343"/>
      <c r="BD82" s="174"/>
      <c r="BE82" s="174"/>
      <c r="BF82" s="174"/>
      <c r="BG82" s="174"/>
      <c r="BH82" s="174"/>
      <c r="BI82" s="174"/>
      <c r="BJ82" s="174"/>
      <c r="BK82" s="174"/>
      <c r="BL82" s="174"/>
      <c r="BN82" s="177"/>
      <c r="BO82" s="177"/>
      <c r="BP82" s="177"/>
      <c r="BQ82" s="177"/>
      <c r="BR82" s="177"/>
      <c r="BS82" s="177"/>
      <c r="BT82" s="177"/>
      <c r="BU82" s="177"/>
      <c r="BV82" s="177"/>
      <c r="BW82" s="177"/>
      <c r="BX82" s="177"/>
      <c r="BY82" s="177"/>
      <c r="BZ82" s="177"/>
      <c r="CA82" s="177"/>
      <c r="CB82" s="177"/>
      <c r="CC82" s="177"/>
      <c r="CD82" s="177"/>
      <c r="CE82" s="177"/>
      <c r="CF82" s="177"/>
      <c r="CG82" s="177"/>
      <c r="CH82" s="177"/>
      <c r="CI82" s="177"/>
      <c r="CJ82" s="177"/>
      <c r="CK82" s="177"/>
      <c r="CL82" s="177"/>
      <c r="CM82" s="177"/>
      <c r="CN82" s="177"/>
      <c r="CO82" s="177"/>
      <c r="CP82" s="177"/>
      <c r="CQ82" s="87"/>
      <c r="CR82" s="87"/>
      <c r="CS82" s="87"/>
      <c r="CT82" s="87"/>
      <c r="CU82" s="87"/>
      <c r="CV82" s="87"/>
      <c r="CW82" s="87"/>
    </row>
    <row r="83" spans="1:101" s="176" customFormat="1" outlineLevel="2">
      <c r="A83" s="174"/>
      <c r="B83" s="174"/>
      <c r="C83" s="174"/>
      <c r="D83" s="174"/>
      <c r="E83" s="174"/>
      <c r="F83" s="174"/>
      <c r="G83" s="174"/>
      <c r="H83" s="174"/>
      <c r="I83" s="174"/>
      <c r="J83" s="352">
        <v>1</v>
      </c>
      <c r="K83" s="353"/>
      <c r="L83" s="388" t="s">
        <v>206</v>
      </c>
      <c r="M83" s="388"/>
      <c r="N83" s="388"/>
      <c r="O83" s="388"/>
      <c r="P83" s="388"/>
      <c r="Q83" s="388"/>
      <c r="R83" s="388"/>
      <c r="S83" s="388"/>
      <c r="T83" s="388"/>
      <c r="U83" s="388"/>
      <c r="V83" s="388"/>
      <c r="W83" s="388"/>
      <c r="X83" s="407">
        <v>0</v>
      </c>
      <c r="Y83" s="407"/>
      <c r="Z83" s="407"/>
      <c r="AA83" s="407"/>
      <c r="AB83" s="407"/>
      <c r="AC83" s="407"/>
      <c r="AD83" s="407"/>
      <c r="AE83" s="407"/>
      <c r="AF83" s="408">
        <v>1</v>
      </c>
      <c r="AG83" s="408"/>
      <c r="AH83" s="408"/>
      <c r="AI83" s="408"/>
      <c r="AJ83" s="408"/>
      <c r="AK83" s="408"/>
      <c r="AL83" s="408"/>
      <c r="AM83" s="408"/>
      <c r="AN83" s="407">
        <v>0</v>
      </c>
      <c r="AO83" s="407"/>
      <c r="AP83" s="407"/>
      <c r="AQ83" s="407"/>
      <c r="AR83" s="407"/>
      <c r="AS83" s="407"/>
      <c r="AT83" s="407"/>
      <c r="AU83" s="407"/>
      <c r="AV83" s="382">
        <f>((X83*AF83)+AN83)</f>
        <v>0</v>
      </c>
      <c r="AW83" s="382"/>
      <c r="AX83" s="382"/>
      <c r="AY83" s="382"/>
      <c r="AZ83" s="382"/>
      <c r="BA83" s="382"/>
      <c r="BB83" s="382"/>
      <c r="BC83" s="382"/>
      <c r="BD83" s="174"/>
      <c r="BE83" s="174"/>
      <c r="BF83" s="174"/>
      <c r="BG83" s="174"/>
      <c r="BH83" s="174"/>
      <c r="BI83" s="174"/>
      <c r="BJ83" s="174"/>
      <c r="BK83" s="174"/>
      <c r="BL83" s="174"/>
      <c r="BN83" s="177"/>
      <c r="BO83" s="177"/>
      <c r="BP83" s="177"/>
      <c r="BQ83" s="177"/>
      <c r="BR83" s="177"/>
      <c r="BS83" s="177"/>
      <c r="BT83" s="177"/>
      <c r="BU83" s="177"/>
      <c r="BV83" s="177"/>
      <c r="BW83" s="177"/>
      <c r="BX83" s="177"/>
      <c r="BY83" s="177"/>
      <c r="BZ83" s="177"/>
      <c r="CA83" s="177"/>
      <c r="CB83" s="177"/>
      <c r="CC83" s="177"/>
      <c r="CD83" s="177"/>
      <c r="CE83" s="177"/>
      <c r="CF83" s="177"/>
      <c r="CG83" s="177"/>
      <c r="CH83" s="177"/>
      <c r="CI83" s="177"/>
      <c r="CJ83" s="177"/>
      <c r="CK83" s="177"/>
      <c r="CL83" s="177"/>
      <c r="CM83" s="177"/>
      <c r="CN83" s="177"/>
      <c r="CO83" s="177"/>
      <c r="CP83" s="177"/>
      <c r="CQ83" s="87"/>
      <c r="CR83" s="87"/>
      <c r="CS83" s="87"/>
      <c r="CT83" s="87"/>
      <c r="CU83" s="87"/>
      <c r="CV83" s="87"/>
      <c r="CW83" s="87"/>
    </row>
    <row r="84" spans="1:101" s="176" customFormat="1" outlineLevel="2">
      <c r="A84" s="174"/>
      <c r="B84" s="174"/>
      <c r="C84" s="174"/>
      <c r="D84" s="174"/>
      <c r="E84" s="174"/>
      <c r="F84" s="174"/>
      <c r="G84" s="174"/>
      <c r="H84" s="174"/>
      <c r="I84" s="174"/>
      <c r="J84" s="352">
        <v>2</v>
      </c>
      <c r="K84" s="353"/>
      <c r="L84" s="388"/>
      <c r="M84" s="388"/>
      <c r="N84" s="388"/>
      <c r="O84" s="388"/>
      <c r="P84" s="388"/>
      <c r="Q84" s="388"/>
      <c r="R84" s="388"/>
      <c r="S84" s="388"/>
      <c r="T84" s="388"/>
      <c r="U84" s="388"/>
      <c r="V84" s="388"/>
      <c r="W84" s="388"/>
      <c r="X84" s="407">
        <v>0</v>
      </c>
      <c r="Y84" s="407"/>
      <c r="Z84" s="407"/>
      <c r="AA84" s="407"/>
      <c r="AB84" s="407"/>
      <c r="AC84" s="407"/>
      <c r="AD84" s="407"/>
      <c r="AE84" s="407"/>
      <c r="AF84" s="408">
        <v>0</v>
      </c>
      <c r="AG84" s="408"/>
      <c r="AH84" s="408"/>
      <c r="AI84" s="408"/>
      <c r="AJ84" s="408"/>
      <c r="AK84" s="408"/>
      <c r="AL84" s="408"/>
      <c r="AM84" s="408"/>
      <c r="AN84" s="407">
        <v>0</v>
      </c>
      <c r="AO84" s="407"/>
      <c r="AP84" s="407"/>
      <c r="AQ84" s="407"/>
      <c r="AR84" s="407"/>
      <c r="AS84" s="407"/>
      <c r="AT84" s="407"/>
      <c r="AU84" s="407"/>
      <c r="AV84" s="382">
        <f>((X84*AF84)+AN84)</f>
        <v>0</v>
      </c>
      <c r="AW84" s="382"/>
      <c r="AX84" s="382"/>
      <c r="AY84" s="382"/>
      <c r="AZ84" s="382"/>
      <c r="BA84" s="382"/>
      <c r="BB84" s="382"/>
      <c r="BC84" s="382"/>
      <c r="BD84" s="174"/>
      <c r="BE84" s="174"/>
      <c r="BF84" s="174"/>
      <c r="BG84" s="174"/>
      <c r="BH84" s="174"/>
      <c r="BI84" s="174"/>
      <c r="BJ84" s="174"/>
      <c r="BK84" s="174"/>
      <c r="BL84" s="174"/>
      <c r="BN84" s="177"/>
      <c r="BO84" s="177"/>
      <c r="BP84" s="177"/>
      <c r="BQ84" s="177"/>
      <c r="BR84" s="177"/>
      <c r="BS84" s="177"/>
      <c r="BT84" s="177"/>
      <c r="BU84" s="177"/>
      <c r="BV84" s="177"/>
      <c r="BW84" s="177"/>
      <c r="BX84" s="177"/>
      <c r="BY84" s="177"/>
      <c r="BZ84" s="177"/>
      <c r="CA84" s="177"/>
      <c r="CB84" s="177"/>
      <c r="CC84" s="177"/>
      <c r="CD84" s="177"/>
      <c r="CE84" s="177"/>
      <c r="CF84" s="177"/>
      <c r="CG84" s="177"/>
      <c r="CH84" s="177"/>
      <c r="CI84" s="177"/>
      <c r="CJ84" s="177"/>
      <c r="CK84" s="177"/>
      <c r="CL84" s="177"/>
      <c r="CM84" s="177"/>
      <c r="CN84" s="177"/>
      <c r="CO84" s="177"/>
      <c r="CP84" s="177"/>
      <c r="CQ84" s="87"/>
      <c r="CR84" s="87"/>
      <c r="CS84" s="87"/>
      <c r="CT84" s="87"/>
      <c r="CU84" s="87"/>
      <c r="CV84" s="87"/>
      <c r="CW84" s="87"/>
    </row>
    <row r="85" spans="1:101" s="176" customFormat="1" outlineLevel="2">
      <c r="A85" s="174"/>
      <c r="B85" s="174"/>
      <c r="C85" s="174"/>
      <c r="D85" s="174"/>
      <c r="E85" s="174"/>
      <c r="F85" s="174"/>
      <c r="G85" s="174"/>
      <c r="H85" s="174"/>
      <c r="I85" s="174"/>
      <c r="J85" s="352">
        <v>3</v>
      </c>
      <c r="K85" s="353"/>
      <c r="L85" s="388"/>
      <c r="M85" s="388"/>
      <c r="N85" s="388"/>
      <c r="O85" s="388"/>
      <c r="P85" s="388"/>
      <c r="Q85" s="388"/>
      <c r="R85" s="388"/>
      <c r="S85" s="388"/>
      <c r="T85" s="388"/>
      <c r="U85" s="388"/>
      <c r="V85" s="388"/>
      <c r="W85" s="388"/>
      <c r="X85" s="407">
        <v>0</v>
      </c>
      <c r="Y85" s="407"/>
      <c r="Z85" s="407"/>
      <c r="AA85" s="407"/>
      <c r="AB85" s="407"/>
      <c r="AC85" s="407"/>
      <c r="AD85" s="407"/>
      <c r="AE85" s="407"/>
      <c r="AF85" s="408">
        <v>0</v>
      </c>
      <c r="AG85" s="408"/>
      <c r="AH85" s="408"/>
      <c r="AI85" s="408"/>
      <c r="AJ85" s="408"/>
      <c r="AK85" s="408"/>
      <c r="AL85" s="408"/>
      <c r="AM85" s="408"/>
      <c r="AN85" s="407">
        <v>0</v>
      </c>
      <c r="AO85" s="407"/>
      <c r="AP85" s="407"/>
      <c r="AQ85" s="407"/>
      <c r="AR85" s="407"/>
      <c r="AS85" s="407"/>
      <c r="AT85" s="407"/>
      <c r="AU85" s="407"/>
      <c r="AV85" s="382">
        <f>((X85*AF85)+AN85)</f>
        <v>0</v>
      </c>
      <c r="AW85" s="382"/>
      <c r="AX85" s="382"/>
      <c r="AY85" s="382"/>
      <c r="AZ85" s="382"/>
      <c r="BA85" s="382"/>
      <c r="BB85" s="382"/>
      <c r="BC85" s="382"/>
      <c r="BD85" s="174"/>
      <c r="BE85" s="174"/>
      <c r="BF85" s="174"/>
      <c r="BG85" s="174"/>
      <c r="BH85" s="174"/>
      <c r="BI85" s="174"/>
      <c r="BJ85" s="174"/>
      <c r="BK85" s="174"/>
      <c r="BL85" s="174"/>
      <c r="BN85" s="177"/>
      <c r="BO85" s="177"/>
      <c r="BP85" s="177"/>
      <c r="BQ85" s="177"/>
      <c r="BR85" s="177"/>
      <c r="BS85" s="177"/>
      <c r="BT85" s="177"/>
      <c r="BU85" s="177"/>
      <c r="BV85" s="177"/>
      <c r="BW85" s="177"/>
      <c r="BX85" s="177"/>
      <c r="BY85" s="177"/>
      <c r="BZ85" s="177"/>
      <c r="CA85" s="177"/>
      <c r="CB85" s="177"/>
      <c r="CC85" s="177"/>
      <c r="CD85" s="177"/>
      <c r="CE85" s="177"/>
      <c r="CF85" s="177"/>
      <c r="CG85" s="177"/>
      <c r="CH85" s="177"/>
      <c r="CI85" s="177"/>
      <c r="CJ85" s="177"/>
      <c r="CK85" s="177"/>
      <c r="CL85" s="177"/>
      <c r="CM85" s="177"/>
      <c r="CN85" s="177"/>
      <c r="CO85" s="177"/>
      <c r="CP85" s="177"/>
      <c r="CQ85" s="87"/>
      <c r="CR85" s="87"/>
      <c r="CS85" s="87"/>
      <c r="CT85" s="87"/>
      <c r="CU85" s="87"/>
      <c r="CV85" s="87"/>
      <c r="CW85" s="87"/>
    </row>
    <row r="86" spans="1:101" s="176" customFormat="1" outlineLevel="2">
      <c r="A86" s="174"/>
      <c r="B86" s="174"/>
      <c r="C86" s="174"/>
      <c r="D86" s="174"/>
      <c r="E86" s="174"/>
      <c r="F86" s="174"/>
      <c r="G86" s="174"/>
      <c r="H86" s="174"/>
      <c r="I86" s="174"/>
      <c r="J86" s="352">
        <v>4</v>
      </c>
      <c r="K86" s="353"/>
      <c r="L86" s="388"/>
      <c r="M86" s="388"/>
      <c r="N86" s="388"/>
      <c r="O86" s="388"/>
      <c r="P86" s="388"/>
      <c r="Q86" s="388"/>
      <c r="R86" s="388"/>
      <c r="S86" s="388"/>
      <c r="T86" s="388"/>
      <c r="U86" s="388"/>
      <c r="V86" s="388"/>
      <c r="W86" s="388"/>
      <c r="X86" s="407">
        <v>0</v>
      </c>
      <c r="Y86" s="407"/>
      <c r="Z86" s="407"/>
      <c r="AA86" s="407"/>
      <c r="AB86" s="407"/>
      <c r="AC86" s="407"/>
      <c r="AD86" s="407"/>
      <c r="AE86" s="407"/>
      <c r="AF86" s="408">
        <v>0</v>
      </c>
      <c r="AG86" s="408"/>
      <c r="AH86" s="408"/>
      <c r="AI86" s="408"/>
      <c r="AJ86" s="408"/>
      <c r="AK86" s="408"/>
      <c r="AL86" s="408"/>
      <c r="AM86" s="408"/>
      <c r="AN86" s="407">
        <v>0</v>
      </c>
      <c r="AO86" s="407"/>
      <c r="AP86" s="407"/>
      <c r="AQ86" s="407"/>
      <c r="AR86" s="407"/>
      <c r="AS86" s="407"/>
      <c r="AT86" s="407"/>
      <c r="AU86" s="407"/>
      <c r="AV86" s="382">
        <f>((X86*AF86)+AN86)</f>
        <v>0</v>
      </c>
      <c r="AW86" s="382"/>
      <c r="AX86" s="382"/>
      <c r="AY86" s="382"/>
      <c r="AZ86" s="382"/>
      <c r="BA86" s="382"/>
      <c r="BB86" s="382"/>
      <c r="BC86" s="382"/>
      <c r="BD86" s="174"/>
      <c r="BE86" s="174"/>
      <c r="BF86" s="174"/>
      <c r="BG86" s="174"/>
      <c r="BH86" s="174"/>
      <c r="BI86" s="174"/>
      <c r="BJ86" s="174"/>
      <c r="BK86" s="174"/>
      <c r="BL86" s="174"/>
      <c r="BN86" s="177"/>
      <c r="BO86" s="177"/>
      <c r="BP86" s="177"/>
      <c r="BQ86" s="177"/>
      <c r="BR86" s="177"/>
      <c r="BS86" s="177"/>
      <c r="BT86" s="177"/>
      <c r="BU86" s="177"/>
      <c r="BV86" s="177"/>
      <c r="BW86" s="177"/>
      <c r="BX86" s="177"/>
      <c r="BY86" s="177"/>
      <c r="BZ86" s="177"/>
      <c r="CA86" s="177"/>
      <c r="CB86" s="177"/>
      <c r="CC86" s="177"/>
      <c r="CD86" s="177"/>
      <c r="CE86" s="177"/>
      <c r="CF86" s="177"/>
      <c r="CG86" s="177"/>
      <c r="CH86" s="177"/>
      <c r="CI86" s="177"/>
      <c r="CJ86" s="177"/>
      <c r="CK86" s="177"/>
      <c r="CL86" s="177"/>
      <c r="CM86" s="177"/>
      <c r="CN86" s="177"/>
      <c r="CO86" s="177"/>
      <c r="CP86" s="177"/>
      <c r="CQ86" s="87"/>
      <c r="CR86" s="87"/>
      <c r="CS86" s="87"/>
      <c r="CT86" s="87"/>
      <c r="CU86" s="87"/>
      <c r="CV86" s="87"/>
      <c r="CW86" s="87"/>
    </row>
    <row r="87" spans="1:101" s="176" customFormat="1" outlineLevel="2">
      <c r="A87" s="174"/>
      <c r="B87" s="174"/>
      <c r="C87" s="174"/>
      <c r="D87" s="174"/>
      <c r="E87" s="174"/>
      <c r="F87" s="174"/>
      <c r="G87" s="174"/>
      <c r="H87" s="174"/>
      <c r="I87" s="174"/>
      <c r="J87" s="352">
        <v>5</v>
      </c>
      <c r="K87" s="353"/>
      <c r="L87" s="388"/>
      <c r="M87" s="388"/>
      <c r="N87" s="388"/>
      <c r="O87" s="388"/>
      <c r="P87" s="388"/>
      <c r="Q87" s="388"/>
      <c r="R87" s="388"/>
      <c r="S87" s="388"/>
      <c r="T87" s="388"/>
      <c r="U87" s="388"/>
      <c r="V87" s="388"/>
      <c r="W87" s="388"/>
      <c r="X87" s="407">
        <v>0</v>
      </c>
      <c r="Y87" s="407"/>
      <c r="Z87" s="407"/>
      <c r="AA87" s="407"/>
      <c r="AB87" s="407"/>
      <c r="AC87" s="407"/>
      <c r="AD87" s="407"/>
      <c r="AE87" s="407"/>
      <c r="AF87" s="408">
        <v>0</v>
      </c>
      <c r="AG87" s="408"/>
      <c r="AH87" s="408"/>
      <c r="AI87" s="408"/>
      <c r="AJ87" s="408"/>
      <c r="AK87" s="408"/>
      <c r="AL87" s="408"/>
      <c r="AM87" s="408"/>
      <c r="AN87" s="407">
        <v>0</v>
      </c>
      <c r="AO87" s="407"/>
      <c r="AP87" s="407"/>
      <c r="AQ87" s="407"/>
      <c r="AR87" s="407"/>
      <c r="AS87" s="407"/>
      <c r="AT87" s="407"/>
      <c r="AU87" s="407"/>
      <c r="AV87" s="382">
        <f>((X87*AF87)+AN87)</f>
        <v>0</v>
      </c>
      <c r="AW87" s="382"/>
      <c r="AX87" s="382"/>
      <c r="AY87" s="382"/>
      <c r="AZ87" s="382"/>
      <c r="BA87" s="382"/>
      <c r="BB87" s="382"/>
      <c r="BC87" s="382"/>
      <c r="BD87" s="174"/>
      <c r="BE87" s="174"/>
      <c r="BF87" s="174"/>
      <c r="BG87" s="174"/>
      <c r="BH87" s="174"/>
      <c r="BI87" s="174"/>
      <c r="BJ87" s="174"/>
      <c r="BK87" s="174"/>
      <c r="BL87" s="174"/>
      <c r="BN87" s="177"/>
      <c r="BO87" s="177"/>
      <c r="BP87" s="177"/>
      <c r="BQ87" s="177"/>
      <c r="BR87" s="177"/>
      <c r="BS87" s="177"/>
      <c r="BT87" s="177"/>
      <c r="BU87" s="177"/>
      <c r="BV87" s="177"/>
      <c r="BW87" s="177"/>
      <c r="BX87" s="177"/>
      <c r="BY87" s="177"/>
      <c r="BZ87" s="177"/>
      <c r="CA87" s="177"/>
      <c r="CB87" s="177"/>
      <c r="CC87" s="177"/>
      <c r="CD87" s="177"/>
      <c r="CE87" s="177"/>
      <c r="CF87" s="177"/>
      <c r="CG87" s="177"/>
      <c r="CH87" s="177"/>
      <c r="CI87" s="177"/>
      <c r="CJ87" s="177"/>
      <c r="CK87" s="177"/>
      <c r="CL87" s="177"/>
      <c r="CM87" s="177"/>
      <c r="CN87" s="177"/>
      <c r="CO87" s="177"/>
      <c r="CP87" s="177"/>
      <c r="CQ87" s="87"/>
      <c r="CR87" s="87"/>
      <c r="CS87" s="87"/>
      <c r="CT87" s="87"/>
      <c r="CU87" s="87"/>
      <c r="CV87" s="87"/>
      <c r="CW87" s="87"/>
    </row>
    <row r="88" spans="1:101" s="176" customFormat="1" ht="6.95" customHeight="1" outlineLevel="1">
      <c r="A88" s="174"/>
      <c r="B88" s="174"/>
      <c r="C88" s="174"/>
      <c r="D88" s="174"/>
      <c r="E88" s="174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174"/>
      <c r="Q88" s="174"/>
      <c r="R88" s="174"/>
      <c r="S88" s="174"/>
      <c r="T88" s="174"/>
      <c r="U88" s="174"/>
      <c r="V88" s="174"/>
      <c r="W88" s="174"/>
      <c r="X88" s="174"/>
      <c r="Y88" s="174"/>
      <c r="Z88" s="174"/>
      <c r="AA88" s="174"/>
      <c r="AB88" s="174"/>
      <c r="AC88" s="174"/>
      <c r="AD88" s="174"/>
      <c r="AE88" s="174"/>
      <c r="AF88" s="174"/>
      <c r="AG88" s="174"/>
      <c r="AH88" s="174"/>
      <c r="AI88" s="174"/>
      <c r="AJ88" s="174"/>
      <c r="AK88" s="174"/>
      <c r="AL88" s="174"/>
      <c r="AM88" s="174"/>
      <c r="AN88" s="174"/>
      <c r="AO88" s="174"/>
      <c r="AP88" s="174"/>
      <c r="AQ88" s="174"/>
      <c r="AR88" s="174"/>
      <c r="AS88" s="174"/>
      <c r="AT88" s="174"/>
      <c r="AU88" s="174"/>
      <c r="AV88" s="174"/>
      <c r="AW88" s="174"/>
      <c r="AX88" s="174"/>
      <c r="AY88" s="174"/>
      <c r="AZ88" s="174"/>
      <c r="BA88" s="174"/>
      <c r="BB88" s="174"/>
      <c r="BC88" s="174"/>
      <c r="BD88" s="174"/>
      <c r="BE88" s="174"/>
      <c r="BF88" s="174"/>
      <c r="BG88" s="174"/>
      <c r="BH88" s="174"/>
      <c r="BI88" s="174"/>
      <c r="BJ88" s="174"/>
      <c r="BK88" s="174"/>
      <c r="BL88" s="174"/>
      <c r="BN88" s="177"/>
      <c r="BO88" s="177"/>
      <c r="BP88" s="177"/>
      <c r="BQ88" s="177"/>
      <c r="BR88" s="177"/>
      <c r="BS88" s="177"/>
      <c r="BT88" s="177"/>
      <c r="BU88" s="177"/>
      <c r="BV88" s="177"/>
      <c r="BW88" s="177"/>
      <c r="BX88" s="177"/>
      <c r="BY88" s="177"/>
      <c r="BZ88" s="177"/>
      <c r="CA88" s="177"/>
      <c r="CB88" s="177"/>
      <c r="CC88" s="177"/>
      <c r="CD88" s="177"/>
      <c r="CE88" s="177"/>
      <c r="CF88" s="177"/>
      <c r="CG88" s="177"/>
      <c r="CH88" s="177"/>
      <c r="CI88" s="177"/>
      <c r="CJ88" s="177"/>
      <c r="CK88" s="177"/>
      <c r="CL88" s="177"/>
      <c r="CM88" s="177"/>
      <c r="CN88" s="177"/>
      <c r="CO88" s="177"/>
      <c r="CP88" s="177"/>
      <c r="CQ88" s="87"/>
      <c r="CR88" s="87"/>
      <c r="CS88" s="87"/>
      <c r="CT88" s="87"/>
      <c r="CU88" s="87"/>
      <c r="CV88" s="87"/>
      <c r="CW88" s="87"/>
    </row>
    <row r="89" spans="1:101" s="176" customFormat="1" outlineLevel="1">
      <c r="A89" s="174"/>
      <c r="B89" s="174"/>
      <c r="C89" s="174"/>
      <c r="D89" s="174"/>
      <c r="E89" s="174"/>
      <c r="F89" s="174"/>
      <c r="G89" s="174"/>
      <c r="H89" s="174"/>
      <c r="I89" s="174"/>
      <c r="J89" s="174"/>
      <c r="K89" s="174"/>
      <c r="L89" s="174"/>
      <c r="M89" s="174"/>
      <c r="N89" s="174"/>
      <c r="O89" s="174"/>
      <c r="P89" s="174"/>
      <c r="Q89" s="174"/>
      <c r="R89" s="174"/>
      <c r="S89" s="174"/>
      <c r="T89" s="174"/>
      <c r="U89" s="174"/>
      <c r="V89" s="174"/>
      <c r="W89" s="174"/>
      <c r="X89" s="174"/>
      <c r="Y89" s="174"/>
      <c r="Z89" s="174"/>
      <c r="AA89" s="174"/>
      <c r="AB89" s="383" t="s">
        <v>178</v>
      </c>
      <c r="AC89" s="383"/>
      <c r="AD89" s="383"/>
      <c r="AE89" s="383" t="str">
        <f>B80</f>
        <v>1.3. Servicios Externos</v>
      </c>
      <c r="AF89" s="383"/>
      <c r="AG89" s="383"/>
      <c r="AH89" s="383"/>
      <c r="AI89" s="383"/>
      <c r="AJ89" s="383"/>
      <c r="AK89" s="383"/>
      <c r="AL89" s="383"/>
      <c r="AM89" s="383"/>
      <c r="AN89" s="383"/>
      <c r="AO89" s="383"/>
      <c r="AP89" s="383"/>
      <c r="AQ89" s="383"/>
      <c r="AR89" s="383"/>
      <c r="AS89" s="383"/>
      <c r="AT89" s="383"/>
      <c r="AU89" s="383"/>
      <c r="AV89" s="403">
        <f>SUM(AV83:BC87)</f>
        <v>0</v>
      </c>
      <c r="AW89" s="403"/>
      <c r="AX89" s="403"/>
      <c r="AY89" s="403"/>
      <c r="AZ89" s="403"/>
      <c r="BA89" s="403"/>
      <c r="BB89" s="403"/>
      <c r="BC89" s="403"/>
      <c r="BD89" s="387">
        <f>AV89/$AW$215</f>
        <v>0</v>
      </c>
      <c r="BE89" s="387"/>
      <c r="BF89" s="387"/>
      <c r="BG89" s="387"/>
      <c r="BH89" s="387"/>
      <c r="BI89" s="387" t="s">
        <v>179</v>
      </c>
      <c r="BJ89" s="387"/>
      <c r="BK89" s="387"/>
      <c r="BL89" s="174"/>
      <c r="BN89" s="177"/>
      <c r="BO89" s="177"/>
      <c r="BP89" s="177"/>
      <c r="BQ89" s="177"/>
      <c r="BR89" s="177"/>
      <c r="BS89" s="177"/>
      <c r="BT89" s="177"/>
      <c r="BU89" s="177"/>
      <c r="BV89" s="177"/>
      <c r="BW89" s="177"/>
      <c r="BX89" s="177"/>
      <c r="BY89" s="177"/>
      <c r="BZ89" s="177"/>
      <c r="CA89" s="177"/>
      <c r="CB89" s="177"/>
      <c r="CC89" s="177"/>
      <c r="CD89" s="177"/>
      <c r="CE89" s="177"/>
      <c r="CF89" s="177"/>
      <c r="CG89" s="177"/>
      <c r="CH89" s="177"/>
      <c r="CI89" s="177"/>
      <c r="CJ89" s="177"/>
      <c r="CK89" s="177"/>
      <c r="CL89" s="177"/>
      <c r="CM89" s="177"/>
      <c r="CN89" s="177"/>
      <c r="CO89" s="177"/>
      <c r="CP89" s="177"/>
      <c r="CQ89" s="87"/>
      <c r="CR89" s="87"/>
      <c r="CS89" s="87"/>
      <c r="CT89" s="87"/>
      <c r="CU89" s="87"/>
      <c r="CV89" s="87"/>
      <c r="CW89" s="87"/>
    </row>
    <row r="90" spans="1:101" s="176" customFormat="1" ht="6.95" customHeight="1" outlineLevel="1">
      <c r="A90" s="174"/>
      <c r="B90" s="174"/>
      <c r="C90" s="174"/>
      <c r="D90" s="174"/>
      <c r="E90" s="174"/>
      <c r="F90" s="174"/>
      <c r="G90" s="174"/>
      <c r="H90" s="174"/>
      <c r="I90" s="174"/>
      <c r="J90" s="174"/>
      <c r="K90" s="174"/>
      <c r="L90" s="174"/>
      <c r="M90" s="174"/>
      <c r="N90" s="174"/>
      <c r="O90" s="174"/>
      <c r="P90" s="174"/>
      <c r="Q90" s="174"/>
      <c r="R90" s="174"/>
      <c r="S90" s="174"/>
      <c r="T90" s="174"/>
      <c r="U90" s="174"/>
      <c r="V90" s="174"/>
      <c r="W90" s="174"/>
      <c r="X90" s="174"/>
      <c r="Y90" s="174"/>
      <c r="Z90" s="174"/>
      <c r="AA90" s="174"/>
      <c r="AB90" s="174"/>
      <c r="AC90" s="174"/>
      <c r="AD90" s="174"/>
      <c r="AE90" s="174"/>
      <c r="AF90" s="174"/>
      <c r="AG90" s="174"/>
      <c r="AH90" s="174"/>
      <c r="AI90" s="174"/>
      <c r="AJ90" s="174"/>
      <c r="AK90" s="174"/>
      <c r="AL90" s="174"/>
      <c r="AM90" s="174"/>
      <c r="AN90" s="174"/>
      <c r="AO90" s="174"/>
      <c r="AP90" s="174"/>
      <c r="AQ90" s="174"/>
      <c r="AR90" s="174"/>
      <c r="AS90" s="174"/>
      <c r="AT90" s="174"/>
      <c r="AU90" s="174"/>
      <c r="AV90" s="174"/>
      <c r="AW90" s="174"/>
      <c r="AX90" s="174"/>
      <c r="AY90" s="174"/>
      <c r="AZ90" s="174"/>
      <c r="BA90" s="174"/>
      <c r="BB90" s="174"/>
      <c r="BC90" s="174"/>
      <c r="BD90" s="174"/>
      <c r="BE90" s="174"/>
      <c r="BF90" s="174"/>
      <c r="BG90" s="174"/>
      <c r="BH90" s="174"/>
      <c r="BI90" s="174"/>
      <c r="BJ90" s="174"/>
      <c r="BK90" s="174"/>
      <c r="BL90" s="174"/>
      <c r="BN90" s="177"/>
      <c r="BO90" s="177"/>
      <c r="BP90" s="177"/>
      <c r="BQ90" s="177"/>
      <c r="BR90" s="177"/>
      <c r="BS90" s="177"/>
      <c r="BT90" s="177"/>
      <c r="BU90" s="177"/>
      <c r="BV90" s="177"/>
      <c r="BW90" s="177"/>
      <c r="BX90" s="177"/>
      <c r="BY90" s="177"/>
      <c r="BZ90" s="177"/>
      <c r="CA90" s="177"/>
      <c r="CB90" s="177"/>
      <c r="CC90" s="177"/>
      <c r="CD90" s="177"/>
      <c r="CE90" s="177"/>
      <c r="CF90" s="177"/>
      <c r="CG90" s="177"/>
      <c r="CH90" s="177"/>
      <c r="CI90" s="177"/>
      <c r="CJ90" s="177"/>
      <c r="CK90" s="177"/>
      <c r="CL90" s="177"/>
      <c r="CM90" s="177"/>
      <c r="CN90" s="177"/>
      <c r="CO90" s="177"/>
      <c r="CP90" s="177"/>
      <c r="CQ90" s="87"/>
      <c r="CR90" s="87"/>
      <c r="CS90" s="87"/>
      <c r="CT90" s="87"/>
      <c r="CU90" s="87"/>
      <c r="CV90" s="87"/>
      <c r="CW90" s="87"/>
    </row>
    <row r="91" spans="1:101" s="176" customFormat="1" outlineLevel="1">
      <c r="A91" s="174"/>
      <c r="B91" s="185" t="s">
        <v>207</v>
      </c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  <c r="R91" s="174"/>
      <c r="S91" s="174"/>
      <c r="T91" s="174"/>
      <c r="U91" s="174"/>
      <c r="V91" s="174"/>
      <c r="W91" s="174"/>
      <c r="X91" s="174"/>
      <c r="Y91" s="174"/>
      <c r="Z91" s="174"/>
      <c r="AA91" s="174"/>
      <c r="AB91" s="174"/>
      <c r="AC91" s="174"/>
      <c r="AD91" s="174"/>
      <c r="AE91" s="174"/>
      <c r="AF91" s="174"/>
      <c r="AG91" s="174"/>
      <c r="AH91" s="174"/>
      <c r="AI91" s="174"/>
      <c r="AJ91" s="174"/>
      <c r="AK91" s="174"/>
      <c r="AL91" s="174"/>
      <c r="AM91" s="174"/>
      <c r="AN91" s="174"/>
      <c r="AO91" s="174"/>
      <c r="AP91" s="174"/>
      <c r="AQ91" s="174"/>
      <c r="AR91" s="174"/>
      <c r="AS91" s="174"/>
      <c r="AT91" s="174"/>
      <c r="AU91" s="174"/>
      <c r="AV91" s="174"/>
      <c r="AW91" s="174"/>
      <c r="AX91" s="174"/>
      <c r="AY91" s="174"/>
      <c r="AZ91" s="174"/>
      <c r="BA91" s="174"/>
      <c r="BB91" s="174"/>
      <c r="BC91" s="174"/>
      <c r="BD91" s="174"/>
      <c r="BE91" s="174"/>
      <c r="BF91" s="174"/>
      <c r="BG91" s="174"/>
      <c r="BH91" s="174"/>
      <c r="BI91" s="174"/>
      <c r="BJ91" s="174"/>
      <c r="BK91" s="174"/>
      <c r="BL91" s="174"/>
      <c r="BN91" s="177"/>
      <c r="BO91" s="177"/>
      <c r="BP91" s="177"/>
      <c r="BQ91" s="177"/>
      <c r="BR91" s="177"/>
      <c r="BS91" s="177"/>
      <c r="BT91" s="177"/>
      <c r="BU91" s="177"/>
      <c r="BV91" s="177"/>
      <c r="BW91" s="177"/>
      <c r="BX91" s="177"/>
      <c r="BY91" s="177"/>
      <c r="BZ91" s="177"/>
      <c r="CA91" s="177"/>
      <c r="CB91" s="177"/>
      <c r="CC91" s="177"/>
      <c r="CD91" s="177"/>
      <c r="CE91" s="177"/>
      <c r="CF91" s="177"/>
      <c r="CG91" s="177"/>
      <c r="CH91" s="177"/>
      <c r="CI91" s="177"/>
      <c r="CJ91" s="177"/>
      <c r="CK91" s="177"/>
      <c r="CL91" s="177"/>
      <c r="CM91" s="177"/>
      <c r="CN91" s="177"/>
      <c r="CO91" s="177"/>
      <c r="CP91" s="177"/>
      <c r="CQ91" s="87"/>
      <c r="CR91" s="87"/>
      <c r="CS91" s="87"/>
      <c r="CT91" s="87"/>
      <c r="CU91" s="87"/>
      <c r="CV91" s="87"/>
      <c r="CW91" s="87"/>
    </row>
    <row r="92" spans="1:101" s="176" customFormat="1" ht="6.95" customHeight="1" outlineLevel="2">
      <c r="A92" s="174"/>
      <c r="B92" s="174"/>
      <c r="C92" s="174"/>
      <c r="D92" s="174"/>
      <c r="E92" s="174"/>
      <c r="F92" s="174"/>
      <c r="G92" s="174"/>
      <c r="H92" s="174"/>
      <c r="I92" s="174"/>
      <c r="J92" s="174"/>
      <c r="K92" s="174"/>
      <c r="L92" s="174"/>
      <c r="M92" s="174"/>
      <c r="N92" s="174"/>
      <c r="O92" s="174"/>
      <c r="P92" s="174"/>
      <c r="Q92" s="174"/>
      <c r="R92" s="174"/>
      <c r="S92" s="174"/>
      <c r="T92" s="174"/>
      <c r="U92" s="174"/>
      <c r="V92" s="174"/>
      <c r="W92" s="174"/>
      <c r="X92" s="174"/>
      <c r="Y92" s="174"/>
      <c r="Z92" s="174"/>
      <c r="AA92" s="174"/>
      <c r="AB92" s="174"/>
      <c r="AC92" s="174"/>
      <c r="AD92" s="174"/>
      <c r="AE92" s="174"/>
      <c r="AF92" s="174"/>
      <c r="AG92" s="174"/>
      <c r="AH92" s="174"/>
      <c r="AI92" s="174"/>
      <c r="AJ92" s="174"/>
      <c r="AK92" s="174"/>
      <c r="AL92" s="174"/>
      <c r="AM92" s="174"/>
      <c r="AN92" s="174"/>
      <c r="AO92" s="174"/>
      <c r="AP92" s="174"/>
      <c r="AQ92" s="174"/>
      <c r="AR92" s="174"/>
      <c r="AS92" s="174"/>
      <c r="AT92" s="174"/>
      <c r="AU92" s="174"/>
      <c r="AV92" s="174"/>
      <c r="AW92" s="174"/>
      <c r="AX92" s="174"/>
      <c r="AY92" s="174"/>
      <c r="AZ92" s="174"/>
      <c r="BA92" s="174"/>
      <c r="BB92" s="174"/>
      <c r="BC92" s="174"/>
      <c r="BD92" s="174"/>
      <c r="BE92" s="174"/>
      <c r="BF92" s="174"/>
      <c r="BG92" s="174"/>
      <c r="BH92" s="174"/>
      <c r="BI92" s="174"/>
      <c r="BJ92" s="174"/>
      <c r="BK92" s="174"/>
      <c r="BL92" s="174"/>
      <c r="BN92" s="177"/>
      <c r="BO92" s="177"/>
      <c r="BP92" s="177"/>
      <c r="BQ92" s="177"/>
      <c r="BR92" s="177"/>
      <c r="BS92" s="177"/>
      <c r="BT92" s="177"/>
      <c r="BU92" s="177"/>
      <c r="BV92" s="177"/>
      <c r="BW92" s="177"/>
      <c r="BX92" s="177"/>
      <c r="BY92" s="177"/>
      <c r="BZ92" s="177"/>
      <c r="CA92" s="177"/>
      <c r="CB92" s="177"/>
      <c r="CC92" s="177"/>
      <c r="CD92" s="177"/>
      <c r="CE92" s="177"/>
      <c r="CF92" s="177"/>
      <c r="CG92" s="177"/>
      <c r="CH92" s="177"/>
      <c r="CI92" s="177"/>
      <c r="CJ92" s="177"/>
      <c r="CK92" s="177"/>
      <c r="CL92" s="177"/>
      <c r="CM92" s="177"/>
      <c r="CN92" s="177"/>
      <c r="CO92" s="177"/>
      <c r="CP92" s="177"/>
      <c r="CQ92" s="87"/>
      <c r="CR92" s="87"/>
      <c r="CS92" s="87"/>
      <c r="CT92" s="87"/>
      <c r="CU92" s="87"/>
      <c r="CV92" s="87"/>
      <c r="CW92" s="87"/>
    </row>
    <row r="93" spans="1:101" s="176" customFormat="1" outlineLevel="2">
      <c r="A93" s="174"/>
      <c r="B93" s="174"/>
      <c r="C93" s="174"/>
      <c r="D93" s="174"/>
      <c r="E93" s="174"/>
      <c r="F93" s="174"/>
      <c r="G93" s="174"/>
      <c r="H93" s="174"/>
      <c r="I93" s="174"/>
      <c r="J93" s="415" t="s">
        <v>153</v>
      </c>
      <c r="K93" s="416"/>
      <c r="L93" s="417" t="s">
        <v>21</v>
      </c>
      <c r="M93" s="417"/>
      <c r="N93" s="417"/>
      <c r="O93" s="417"/>
      <c r="P93" s="417"/>
      <c r="Q93" s="417"/>
      <c r="R93" s="417"/>
      <c r="S93" s="417"/>
      <c r="T93" s="417"/>
      <c r="U93" s="417"/>
      <c r="V93" s="417"/>
      <c r="W93" s="417"/>
      <c r="X93" s="417" t="s">
        <v>182</v>
      </c>
      <c r="Y93" s="417"/>
      <c r="Z93" s="417"/>
      <c r="AA93" s="417"/>
      <c r="AB93" s="417"/>
      <c r="AC93" s="417"/>
      <c r="AD93" s="417"/>
      <c r="AE93" s="417"/>
      <c r="AF93" s="378" t="s">
        <v>158</v>
      </c>
      <c r="AG93" s="380"/>
      <c r="AH93" s="380"/>
      <c r="AI93" s="380"/>
      <c r="AJ93" s="380"/>
      <c r="AK93" s="380"/>
      <c r="AL93" s="380"/>
      <c r="AM93" s="379"/>
      <c r="AN93" s="417" t="s">
        <v>60</v>
      </c>
      <c r="AO93" s="417"/>
      <c r="AP93" s="417"/>
      <c r="AQ93" s="417"/>
      <c r="AR93" s="417"/>
      <c r="AS93" s="417"/>
      <c r="AT93" s="417"/>
      <c r="AU93" s="417"/>
      <c r="AV93" s="417" t="s">
        <v>62</v>
      </c>
      <c r="AW93" s="417"/>
      <c r="AX93" s="417"/>
      <c r="AY93" s="417"/>
      <c r="AZ93" s="417"/>
      <c r="BA93" s="417"/>
      <c r="BB93" s="417"/>
      <c r="BC93" s="417"/>
      <c r="BD93" s="174"/>
      <c r="BE93" s="174"/>
      <c r="BF93" s="174"/>
      <c r="BG93" s="174"/>
      <c r="BH93" s="174"/>
      <c r="BI93" s="174"/>
      <c r="BJ93" s="174"/>
      <c r="BK93" s="174"/>
      <c r="BL93" s="174"/>
      <c r="BN93" s="177"/>
      <c r="BO93" s="177"/>
      <c r="BP93" s="177"/>
      <c r="BQ93" s="177"/>
      <c r="BR93" s="177"/>
      <c r="BS93" s="177"/>
      <c r="BT93" s="177"/>
      <c r="BU93" s="177"/>
      <c r="BV93" s="177"/>
      <c r="BW93" s="177"/>
      <c r="BX93" s="177"/>
      <c r="BY93" s="177"/>
      <c r="BZ93" s="177"/>
      <c r="CA93" s="177"/>
      <c r="CB93" s="177"/>
      <c r="CC93" s="177"/>
      <c r="CD93" s="177"/>
      <c r="CE93" s="177"/>
      <c r="CF93" s="177"/>
      <c r="CG93" s="177"/>
      <c r="CH93" s="177"/>
      <c r="CI93" s="177"/>
      <c r="CJ93" s="177"/>
      <c r="CK93" s="177"/>
      <c r="CL93" s="177"/>
      <c r="CM93" s="177"/>
      <c r="CN93" s="177"/>
      <c r="CO93" s="177"/>
      <c r="CP93" s="177"/>
      <c r="CQ93" s="87"/>
      <c r="CR93" s="87"/>
      <c r="CS93" s="87"/>
      <c r="CT93" s="87"/>
      <c r="CU93" s="87"/>
      <c r="CV93" s="87"/>
      <c r="CW93" s="87"/>
    </row>
    <row r="94" spans="1:101" s="176" customFormat="1" outlineLevel="2">
      <c r="A94" s="174"/>
      <c r="B94" s="174"/>
      <c r="C94" s="174"/>
      <c r="D94" s="174"/>
      <c r="E94" s="174"/>
      <c r="F94" s="174"/>
      <c r="G94" s="174"/>
      <c r="H94" s="174"/>
      <c r="I94" s="174"/>
      <c r="J94" s="352">
        <v>1</v>
      </c>
      <c r="K94" s="353"/>
      <c r="L94" s="388" t="s">
        <v>208</v>
      </c>
      <c r="M94" s="388"/>
      <c r="N94" s="388"/>
      <c r="O94" s="388"/>
      <c r="P94" s="388"/>
      <c r="Q94" s="388"/>
      <c r="R94" s="388"/>
      <c r="S94" s="388"/>
      <c r="T94" s="388"/>
      <c r="U94" s="388"/>
      <c r="V94" s="388"/>
      <c r="W94" s="388"/>
      <c r="X94" s="407">
        <v>500</v>
      </c>
      <c r="Y94" s="407"/>
      <c r="Z94" s="407"/>
      <c r="AA94" s="407"/>
      <c r="AB94" s="407"/>
      <c r="AC94" s="407"/>
      <c r="AD94" s="407"/>
      <c r="AE94" s="407"/>
      <c r="AF94" s="413">
        <f>$AW$11</f>
        <v>2.5</v>
      </c>
      <c r="AG94" s="413"/>
      <c r="AH94" s="413"/>
      <c r="AI94" s="413"/>
      <c r="AJ94" s="413"/>
      <c r="AK94" s="413"/>
      <c r="AL94" s="413"/>
      <c r="AM94" s="413"/>
      <c r="AN94" s="408">
        <v>1</v>
      </c>
      <c r="AO94" s="408"/>
      <c r="AP94" s="408"/>
      <c r="AQ94" s="408"/>
      <c r="AR94" s="408"/>
      <c r="AS94" s="408"/>
      <c r="AT94" s="408"/>
      <c r="AU94" s="408"/>
      <c r="AV94" s="382">
        <f>X94*AF94*AN94</f>
        <v>1250</v>
      </c>
      <c r="AW94" s="382"/>
      <c r="AX94" s="382"/>
      <c r="AY94" s="382"/>
      <c r="AZ94" s="382"/>
      <c r="BA94" s="382"/>
      <c r="BB94" s="382"/>
      <c r="BC94" s="382"/>
      <c r="BD94" s="174"/>
      <c r="BE94" s="174"/>
      <c r="BF94" s="174"/>
      <c r="BG94" s="174"/>
      <c r="BH94" s="174"/>
      <c r="BI94" s="174"/>
      <c r="BJ94" s="174"/>
      <c r="BK94" s="174"/>
      <c r="BL94" s="174"/>
      <c r="BN94" s="177"/>
      <c r="BO94" s="177"/>
      <c r="BP94" s="177"/>
      <c r="BQ94" s="177"/>
      <c r="BR94" s="177"/>
      <c r="BS94" s="177"/>
      <c r="BT94" s="177"/>
      <c r="BU94" s="177"/>
      <c r="BV94" s="177"/>
      <c r="BW94" s="177"/>
      <c r="BX94" s="177"/>
      <c r="BY94" s="177"/>
      <c r="BZ94" s="177"/>
      <c r="CA94" s="177"/>
      <c r="CB94" s="177"/>
      <c r="CC94" s="177"/>
      <c r="CD94" s="177"/>
      <c r="CE94" s="177"/>
      <c r="CF94" s="177"/>
      <c r="CG94" s="177"/>
      <c r="CH94" s="177"/>
      <c r="CI94" s="177"/>
      <c r="CJ94" s="177"/>
      <c r="CK94" s="177"/>
      <c r="CL94" s="177"/>
      <c r="CM94" s="177"/>
      <c r="CN94" s="177"/>
      <c r="CO94" s="177"/>
      <c r="CP94" s="177"/>
      <c r="CQ94" s="87"/>
      <c r="CR94" s="87"/>
      <c r="CS94" s="87"/>
      <c r="CT94" s="87"/>
      <c r="CU94" s="87"/>
      <c r="CV94" s="87"/>
      <c r="CW94" s="87"/>
    </row>
    <row r="95" spans="1:101" s="176" customFormat="1" outlineLevel="2">
      <c r="A95" s="174"/>
      <c r="B95" s="174"/>
      <c r="C95" s="174"/>
      <c r="D95" s="174"/>
      <c r="E95" s="174"/>
      <c r="F95" s="174"/>
      <c r="G95" s="174"/>
      <c r="H95" s="174"/>
      <c r="I95" s="174"/>
      <c r="J95" s="352">
        <v>2</v>
      </c>
      <c r="K95" s="353"/>
      <c r="L95" s="388" t="s">
        <v>209</v>
      </c>
      <c r="M95" s="388"/>
      <c r="N95" s="388"/>
      <c r="O95" s="388"/>
      <c r="P95" s="388"/>
      <c r="Q95" s="388"/>
      <c r="R95" s="388"/>
      <c r="S95" s="388"/>
      <c r="T95" s="388"/>
      <c r="U95" s="388"/>
      <c r="V95" s="388"/>
      <c r="W95" s="388"/>
      <c r="X95" s="407">
        <v>0</v>
      </c>
      <c r="Y95" s="407"/>
      <c r="Z95" s="407"/>
      <c r="AA95" s="407"/>
      <c r="AB95" s="407"/>
      <c r="AC95" s="407"/>
      <c r="AD95" s="407"/>
      <c r="AE95" s="407"/>
      <c r="AF95" s="413">
        <f t="shared" ref="AF95:AF101" si="6">$AW$11</f>
        <v>2.5</v>
      </c>
      <c r="AG95" s="413"/>
      <c r="AH95" s="413"/>
      <c r="AI95" s="413"/>
      <c r="AJ95" s="413"/>
      <c r="AK95" s="413"/>
      <c r="AL95" s="413"/>
      <c r="AM95" s="413"/>
      <c r="AN95" s="408">
        <v>1</v>
      </c>
      <c r="AO95" s="408"/>
      <c r="AP95" s="408"/>
      <c r="AQ95" s="408"/>
      <c r="AR95" s="408"/>
      <c r="AS95" s="408"/>
      <c r="AT95" s="408"/>
      <c r="AU95" s="408"/>
      <c r="AV95" s="382">
        <f t="shared" ref="AV95:AV101" si="7">X95*AF95*AN95</f>
        <v>0</v>
      </c>
      <c r="AW95" s="382"/>
      <c r="AX95" s="382"/>
      <c r="AY95" s="382"/>
      <c r="AZ95" s="382"/>
      <c r="BA95" s="382"/>
      <c r="BB95" s="382"/>
      <c r="BC95" s="382"/>
      <c r="BD95" s="174"/>
      <c r="BE95" s="174"/>
      <c r="BF95" s="174"/>
      <c r="BG95" s="174"/>
      <c r="BH95" s="174"/>
      <c r="BI95" s="174"/>
      <c r="BJ95" s="174"/>
      <c r="BK95" s="174"/>
      <c r="BL95" s="174"/>
      <c r="BN95" s="177"/>
      <c r="BO95" s="177"/>
      <c r="BP95" s="177"/>
      <c r="BQ95" s="177"/>
      <c r="BR95" s="177"/>
      <c r="BS95" s="177"/>
      <c r="BT95" s="177"/>
      <c r="BU95" s="177"/>
      <c r="BV95" s="177"/>
      <c r="BW95" s="177"/>
      <c r="BX95" s="177"/>
      <c r="BY95" s="177"/>
      <c r="BZ95" s="177"/>
      <c r="CA95" s="177"/>
      <c r="CB95" s="177"/>
      <c r="CC95" s="177"/>
      <c r="CD95" s="177"/>
      <c r="CE95" s="177"/>
      <c r="CF95" s="177"/>
      <c r="CG95" s="177"/>
      <c r="CH95" s="177"/>
      <c r="CI95" s="177"/>
      <c r="CJ95" s="177"/>
      <c r="CK95" s="177"/>
      <c r="CL95" s="177"/>
      <c r="CM95" s="177"/>
      <c r="CN95" s="177"/>
      <c r="CO95" s="177"/>
      <c r="CP95" s="177"/>
      <c r="CQ95" s="87"/>
      <c r="CR95" s="87"/>
      <c r="CS95" s="87"/>
      <c r="CT95" s="87"/>
      <c r="CU95" s="87"/>
      <c r="CV95" s="87"/>
      <c r="CW95" s="87"/>
    </row>
    <row r="96" spans="1:101" s="176" customFormat="1" outlineLevel="2">
      <c r="A96" s="174"/>
      <c r="B96" s="174"/>
      <c r="C96" s="174"/>
      <c r="D96" s="174"/>
      <c r="E96" s="174"/>
      <c r="F96" s="174"/>
      <c r="G96" s="174"/>
      <c r="H96" s="174"/>
      <c r="I96" s="174"/>
      <c r="J96" s="352">
        <v>3</v>
      </c>
      <c r="K96" s="353"/>
      <c r="L96" s="388" t="s">
        <v>210</v>
      </c>
      <c r="M96" s="388"/>
      <c r="N96" s="388"/>
      <c r="O96" s="388"/>
      <c r="P96" s="388"/>
      <c r="Q96" s="388"/>
      <c r="R96" s="388"/>
      <c r="S96" s="388"/>
      <c r="T96" s="388"/>
      <c r="U96" s="388"/>
      <c r="V96" s="388"/>
      <c r="W96" s="388"/>
      <c r="X96" s="407">
        <v>0</v>
      </c>
      <c r="Y96" s="407"/>
      <c r="Z96" s="407"/>
      <c r="AA96" s="407"/>
      <c r="AB96" s="407"/>
      <c r="AC96" s="407"/>
      <c r="AD96" s="407"/>
      <c r="AE96" s="407"/>
      <c r="AF96" s="413">
        <f t="shared" si="6"/>
        <v>2.5</v>
      </c>
      <c r="AG96" s="413"/>
      <c r="AH96" s="413"/>
      <c r="AI96" s="413"/>
      <c r="AJ96" s="413"/>
      <c r="AK96" s="413"/>
      <c r="AL96" s="413"/>
      <c r="AM96" s="413"/>
      <c r="AN96" s="408">
        <v>0</v>
      </c>
      <c r="AO96" s="408"/>
      <c r="AP96" s="408"/>
      <c r="AQ96" s="408"/>
      <c r="AR96" s="408"/>
      <c r="AS96" s="408"/>
      <c r="AT96" s="408"/>
      <c r="AU96" s="408"/>
      <c r="AV96" s="382">
        <f t="shared" si="7"/>
        <v>0</v>
      </c>
      <c r="AW96" s="382"/>
      <c r="AX96" s="382"/>
      <c r="AY96" s="382"/>
      <c r="AZ96" s="382"/>
      <c r="BA96" s="382"/>
      <c r="BB96" s="382"/>
      <c r="BC96" s="382"/>
      <c r="BD96" s="174"/>
      <c r="BE96" s="174"/>
      <c r="BF96" s="174"/>
      <c r="BG96" s="174"/>
      <c r="BH96" s="174"/>
      <c r="BI96" s="174"/>
      <c r="BJ96" s="174"/>
      <c r="BK96" s="174"/>
      <c r="BL96" s="174"/>
      <c r="BN96" s="177"/>
      <c r="BO96" s="177"/>
      <c r="BP96" s="177"/>
      <c r="BQ96" s="177"/>
      <c r="BR96" s="177"/>
      <c r="BS96" s="177"/>
      <c r="BT96" s="177"/>
      <c r="BU96" s="177"/>
      <c r="BV96" s="177"/>
      <c r="BW96" s="177"/>
      <c r="BX96" s="177"/>
      <c r="BY96" s="177"/>
      <c r="BZ96" s="177"/>
      <c r="CA96" s="177"/>
      <c r="CB96" s="177"/>
      <c r="CC96" s="177"/>
      <c r="CD96" s="177"/>
      <c r="CE96" s="177"/>
      <c r="CF96" s="177"/>
      <c r="CG96" s="177"/>
      <c r="CH96" s="177"/>
      <c r="CI96" s="177"/>
      <c r="CJ96" s="177"/>
      <c r="CK96" s="177"/>
      <c r="CL96" s="177"/>
      <c r="CM96" s="177"/>
      <c r="CN96" s="177"/>
      <c r="CO96" s="177"/>
      <c r="CP96" s="177"/>
      <c r="CQ96" s="87"/>
      <c r="CR96" s="87"/>
      <c r="CS96" s="87"/>
      <c r="CT96" s="87"/>
      <c r="CU96" s="87"/>
      <c r="CV96" s="87"/>
      <c r="CW96" s="87"/>
    </row>
    <row r="97" spans="1:101" s="176" customFormat="1" outlineLevel="2">
      <c r="A97" s="174"/>
      <c r="B97" s="174"/>
      <c r="C97" s="174"/>
      <c r="D97" s="174"/>
      <c r="E97" s="174"/>
      <c r="F97" s="174"/>
      <c r="G97" s="174"/>
      <c r="H97" s="174"/>
      <c r="I97" s="174"/>
      <c r="J97" s="352">
        <v>4</v>
      </c>
      <c r="K97" s="353"/>
      <c r="L97" s="388" t="s">
        <v>211</v>
      </c>
      <c r="M97" s="388"/>
      <c r="N97" s="388"/>
      <c r="O97" s="388"/>
      <c r="P97" s="388"/>
      <c r="Q97" s="388"/>
      <c r="R97" s="388"/>
      <c r="S97" s="388"/>
      <c r="T97" s="388"/>
      <c r="U97" s="388"/>
      <c r="V97" s="388"/>
      <c r="W97" s="388"/>
      <c r="X97" s="407">
        <v>500</v>
      </c>
      <c r="Y97" s="407"/>
      <c r="Z97" s="407"/>
      <c r="AA97" s="407"/>
      <c r="AB97" s="407"/>
      <c r="AC97" s="407"/>
      <c r="AD97" s="407"/>
      <c r="AE97" s="407"/>
      <c r="AF97" s="413">
        <f t="shared" si="6"/>
        <v>2.5</v>
      </c>
      <c r="AG97" s="413"/>
      <c r="AH97" s="413"/>
      <c r="AI97" s="413"/>
      <c r="AJ97" s="413"/>
      <c r="AK97" s="413"/>
      <c r="AL97" s="413"/>
      <c r="AM97" s="413"/>
      <c r="AN97" s="408">
        <v>2</v>
      </c>
      <c r="AO97" s="408"/>
      <c r="AP97" s="408"/>
      <c r="AQ97" s="408"/>
      <c r="AR97" s="408"/>
      <c r="AS97" s="408"/>
      <c r="AT97" s="408"/>
      <c r="AU97" s="408"/>
      <c r="AV97" s="382">
        <f t="shared" si="7"/>
        <v>2500</v>
      </c>
      <c r="AW97" s="382"/>
      <c r="AX97" s="382"/>
      <c r="AY97" s="382"/>
      <c r="AZ97" s="382"/>
      <c r="BA97" s="382"/>
      <c r="BB97" s="382"/>
      <c r="BC97" s="382"/>
      <c r="BD97" s="174"/>
      <c r="BE97" s="174"/>
      <c r="BF97" s="174"/>
      <c r="BG97" s="174"/>
      <c r="BH97" s="174"/>
      <c r="BI97" s="174"/>
      <c r="BJ97" s="174"/>
      <c r="BK97" s="174"/>
      <c r="BL97" s="174"/>
      <c r="BN97" s="177"/>
      <c r="BO97" s="177"/>
      <c r="BP97" s="177"/>
      <c r="BQ97" s="177"/>
      <c r="BR97" s="177"/>
      <c r="BS97" s="177"/>
      <c r="BT97" s="177"/>
      <c r="BU97" s="177"/>
      <c r="BV97" s="177"/>
      <c r="BW97" s="177"/>
      <c r="BX97" s="177"/>
      <c r="BY97" s="177"/>
      <c r="BZ97" s="177"/>
      <c r="CA97" s="177"/>
      <c r="CB97" s="177"/>
      <c r="CC97" s="177"/>
      <c r="CD97" s="177"/>
      <c r="CE97" s="177"/>
      <c r="CF97" s="177"/>
      <c r="CG97" s="177"/>
      <c r="CH97" s="177"/>
      <c r="CI97" s="177"/>
      <c r="CJ97" s="177"/>
      <c r="CK97" s="177"/>
      <c r="CL97" s="177"/>
      <c r="CM97" s="177"/>
      <c r="CN97" s="177"/>
      <c r="CO97" s="177"/>
      <c r="CP97" s="177"/>
      <c r="CQ97" s="87"/>
      <c r="CR97" s="87"/>
      <c r="CS97" s="87"/>
      <c r="CT97" s="87"/>
      <c r="CU97" s="87"/>
      <c r="CV97" s="87"/>
      <c r="CW97" s="87"/>
    </row>
    <row r="98" spans="1:101" s="176" customFormat="1" outlineLevel="2">
      <c r="A98" s="174"/>
      <c r="B98" s="174"/>
      <c r="C98" s="174"/>
      <c r="D98" s="174"/>
      <c r="E98" s="174"/>
      <c r="F98" s="174"/>
      <c r="G98" s="174"/>
      <c r="H98" s="174"/>
      <c r="I98" s="174"/>
      <c r="J98" s="352">
        <v>5</v>
      </c>
      <c r="K98" s="353"/>
      <c r="L98" s="388" t="s">
        <v>212</v>
      </c>
      <c r="M98" s="388"/>
      <c r="N98" s="388"/>
      <c r="O98" s="388"/>
      <c r="P98" s="388"/>
      <c r="Q98" s="388"/>
      <c r="R98" s="388"/>
      <c r="S98" s="388"/>
      <c r="T98" s="388"/>
      <c r="U98" s="388"/>
      <c r="V98" s="388"/>
      <c r="W98" s="388"/>
      <c r="X98" s="407">
        <v>0</v>
      </c>
      <c r="Y98" s="407"/>
      <c r="Z98" s="407"/>
      <c r="AA98" s="407"/>
      <c r="AB98" s="407"/>
      <c r="AC98" s="407"/>
      <c r="AD98" s="407"/>
      <c r="AE98" s="407"/>
      <c r="AF98" s="413">
        <f t="shared" si="6"/>
        <v>2.5</v>
      </c>
      <c r="AG98" s="413"/>
      <c r="AH98" s="413"/>
      <c r="AI98" s="413"/>
      <c r="AJ98" s="413"/>
      <c r="AK98" s="413"/>
      <c r="AL98" s="413"/>
      <c r="AM98" s="413"/>
      <c r="AN98" s="408">
        <v>0</v>
      </c>
      <c r="AO98" s="408"/>
      <c r="AP98" s="408"/>
      <c r="AQ98" s="408"/>
      <c r="AR98" s="408"/>
      <c r="AS98" s="408"/>
      <c r="AT98" s="408"/>
      <c r="AU98" s="408"/>
      <c r="AV98" s="382">
        <f t="shared" si="7"/>
        <v>0</v>
      </c>
      <c r="AW98" s="382"/>
      <c r="AX98" s="382"/>
      <c r="AY98" s="382"/>
      <c r="AZ98" s="382"/>
      <c r="BA98" s="382"/>
      <c r="BB98" s="382"/>
      <c r="BC98" s="382"/>
      <c r="BD98" s="174"/>
      <c r="BE98" s="174"/>
      <c r="BF98" s="174"/>
      <c r="BG98" s="174"/>
      <c r="BH98" s="174"/>
      <c r="BI98" s="174"/>
      <c r="BJ98" s="174"/>
      <c r="BK98" s="174"/>
      <c r="BL98" s="174"/>
      <c r="BN98" s="177"/>
      <c r="BO98" s="177"/>
      <c r="BP98" s="177"/>
      <c r="BQ98" s="177"/>
      <c r="BR98" s="177"/>
      <c r="BS98" s="177"/>
      <c r="BT98" s="177"/>
      <c r="BU98" s="177"/>
      <c r="BV98" s="177"/>
      <c r="BW98" s="177"/>
      <c r="BX98" s="177"/>
      <c r="BY98" s="177"/>
      <c r="BZ98" s="177"/>
      <c r="CA98" s="177"/>
      <c r="CB98" s="177"/>
      <c r="CC98" s="177"/>
      <c r="CD98" s="177"/>
      <c r="CE98" s="177"/>
      <c r="CF98" s="177"/>
      <c r="CG98" s="177"/>
      <c r="CH98" s="177"/>
      <c r="CI98" s="177"/>
      <c r="CJ98" s="177"/>
      <c r="CK98" s="177"/>
      <c r="CL98" s="177"/>
      <c r="CM98" s="177"/>
      <c r="CN98" s="177"/>
      <c r="CO98" s="177"/>
      <c r="CP98" s="177"/>
      <c r="CQ98" s="87"/>
      <c r="CR98" s="87"/>
      <c r="CS98" s="87"/>
      <c r="CT98" s="87"/>
      <c r="CU98" s="87"/>
      <c r="CV98" s="87"/>
      <c r="CW98" s="87"/>
    </row>
    <row r="99" spans="1:101" s="176" customFormat="1" outlineLevel="2">
      <c r="A99" s="174"/>
      <c r="B99" s="174"/>
      <c r="C99" s="174"/>
      <c r="D99" s="174"/>
      <c r="E99" s="174"/>
      <c r="F99" s="174"/>
      <c r="G99" s="174"/>
      <c r="H99" s="174"/>
      <c r="I99" s="174"/>
      <c r="J99" s="352">
        <v>6</v>
      </c>
      <c r="K99" s="353"/>
      <c r="L99" s="388" t="s">
        <v>213</v>
      </c>
      <c r="M99" s="388"/>
      <c r="N99" s="388"/>
      <c r="O99" s="388"/>
      <c r="P99" s="388"/>
      <c r="Q99" s="388"/>
      <c r="R99" s="388"/>
      <c r="S99" s="388"/>
      <c r="T99" s="388"/>
      <c r="U99" s="388"/>
      <c r="V99" s="388"/>
      <c r="W99" s="388"/>
      <c r="X99" s="407">
        <v>500</v>
      </c>
      <c r="Y99" s="407"/>
      <c r="Z99" s="407"/>
      <c r="AA99" s="407"/>
      <c r="AB99" s="407"/>
      <c r="AC99" s="407"/>
      <c r="AD99" s="407"/>
      <c r="AE99" s="407"/>
      <c r="AF99" s="413">
        <f t="shared" si="6"/>
        <v>2.5</v>
      </c>
      <c r="AG99" s="413"/>
      <c r="AH99" s="413"/>
      <c r="AI99" s="413"/>
      <c r="AJ99" s="413"/>
      <c r="AK99" s="413"/>
      <c r="AL99" s="413"/>
      <c r="AM99" s="413"/>
      <c r="AN99" s="408">
        <v>1</v>
      </c>
      <c r="AO99" s="408"/>
      <c r="AP99" s="408"/>
      <c r="AQ99" s="408"/>
      <c r="AR99" s="408"/>
      <c r="AS99" s="408"/>
      <c r="AT99" s="408"/>
      <c r="AU99" s="408"/>
      <c r="AV99" s="382">
        <f t="shared" si="7"/>
        <v>1250</v>
      </c>
      <c r="AW99" s="382"/>
      <c r="AX99" s="382"/>
      <c r="AY99" s="382"/>
      <c r="AZ99" s="382"/>
      <c r="BA99" s="382"/>
      <c r="BB99" s="382"/>
      <c r="BC99" s="382"/>
      <c r="BD99" s="174"/>
      <c r="BE99" s="174"/>
      <c r="BF99" s="174"/>
      <c r="BG99" s="174"/>
      <c r="BH99" s="174"/>
      <c r="BI99" s="174"/>
      <c r="BJ99" s="174"/>
      <c r="BK99" s="174"/>
      <c r="BL99" s="174"/>
      <c r="BN99" s="177"/>
      <c r="BO99" s="177"/>
      <c r="BP99" s="177"/>
      <c r="BQ99" s="177"/>
      <c r="BR99" s="177"/>
      <c r="BS99" s="177"/>
      <c r="BT99" s="177"/>
      <c r="BU99" s="177"/>
      <c r="BV99" s="177"/>
      <c r="BW99" s="177"/>
      <c r="BX99" s="177"/>
      <c r="BY99" s="177"/>
      <c r="BZ99" s="177"/>
      <c r="CA99" s="177"/>
      <c r="CB99" s="177"/>
      <c r="CC99" s="177"/>
      <c r="CD99" s="177"/>
      <c r="CE99" s="177"/>
      <c r="CF99" s="177"/>
      <c r="CG99" s="177"/>
      <c r="CH99" s="177"/>
      <c r="CI99" s="177"/>
      <c r="CJ99" s="177"/>
      <c r="CK99" s="177"/>
      <c r="CL99" s="177"/>
      <c r="CM99" s="177"/>
      <c r="CN99" s="177"/>
      <c r="CO99" s="177"/>
      <c r="CP99" s="177"/>
      <c r="CQ99" s="87"/>
      <c r="CR99" s="87"/>
      <c r="CS99" s="87"/>
      <c r="CT99" s="87"/>
      <c r="CU99" s="87"/>
      <c r="CV99" s="87"/>
      <c r="CW99" s="87"/>
    </row>
    <row r="100" spans="1:101" s="176" customFormat="1" outlineLevel="2">
      <c r="A100" s="174"/>
      <c r="B100" s="174"/>
      <c r="C100" s="174"/>
      <c r="D100" s="174"/>
      <c r="E100" s="174"/>
      <c r="F100" s="174"/>
      <c r="G100" s="174"/>
      <c r="H100" s="174"/>
      <c r="I100" s="174"/>
      <c r="J100" s="352">
        <v>7</v>
      </c>
      <c r="K100" s="353"/>
      <c r="L100" s="388" t="s">
        <v>214</v>
      </c>
      <c r="M100" s="388"/>
      <c r="N100" s="388"/>
      <c r="O100" s="388"/>
      <c r="P100" s="388"/>
      <c r="Q100" s="388"/>
      <c r="R100" s="388"/>
      <c r="S100" s="388"/>
      <c r="T100" s="388"/>
      <c r="U100" s="388"/>
      <c r="V100" s="388"/>
      <c r="W100" s="388"/>
      <c r="X100" s="407">
        <v>500</v>
      </c>
      <c r="Y100" s="407"/>
      <c r="Z100" s="407"/>
      <c r="AA100" s="407"/>
      <c r="AB100" s="407"/>
      <c r="AC100" s="407"/>
      <c r="AD100" s="407"/>
      <c r="AE100" s="407"/>
      <c r="AF100" s="413">
        <f t="shared" si="6"/>
        <v>2.5</v>
      </c>
      <c r="AG100" s="413"/>
      <c r="AH100" s="413"/>
      <c r="AI100" s="413"/>
      <c r="AJ100" s="413"/>
      <c r="AK100" s="413"/>
      <c r="AL100" s="413"/>
      <c r="AM100" s="413"/>
      <c r="AN100" s="408">
        <v>1</v>
      </c>
      <c r="AO100" s="408"/>
      <c r="AP100" s="408"/>
      <c r="AQ100" s="408"/>
      <c r="AR100" s="408"/>
      <c r="AS100" s="408"/>
      <c r="AT100" s="408"/>
      <c r="AU100" s="408"/>
      <c r="AV100" s="382">
        <f t="shared" si="7"/>
        <v>1250</v>
      </c>
      <c r="AW100" s="382"/>
      <c r="AX100" s="382"/>
      <c r="AY100" s="382"/>
      <c r="AZ100" s="382"/>
      <c r="BA100" s="382"/>
      <c r="BB100" s="382"/>
      <c r="BC100" s="382"/>
      <c r="BD100" s="174"/>
      <c r="BE100" s="174"/>
      <c r="BF100" s="174"/>
      <c r="BG100" s="174"/>
      <c r="BH100" s="174"/>
      <c r="BI100" s="174"/>
      <c r="BJ100" s="174"/>
      <c r="BK100" s="174"/>
      <c r="BL100" s="174"/>
      <c r="BN100" s="177"/>
      <c r="BO100" s="177"/>
      <c r="BP100" s="177"/>
      <c r="BQ100" s="177"/>
      <c r="BR100" s="177"/>
      <c r="BS100" s="177"/>
      <c r="BT100" s="177"/>
      <c r="BU100" s="177"/>
      <c r="BV100" s="177"/>
      <c r="BW100" s="177"/>
      <c r="BX100" s="177"/>
      <c r="BY100" s="177"/>
      <c r="BZ100" s="177"/>
      <c r="CA100" s="177"/>
      <c r="CB100" s="177"/>
      <c r="CC100" s="177"/>
      <c r="CD100" s="177"/>
      <c r="CE100" s="177"/>
      <c r="CF100" s="177"/>
      <c r="CG100" s="177"/>
      <c r="CH100" s="177"/>
      <c r="CI100" s="177"/>
      <c r="CJ100" s="177"/>
      <c r="CK100" s="177"/>
      <c r="CL100" s="177"/>
      <c r="CM100" s="177"/>
      <c r="CN100" s="177"/>
      <c r="CO100" s="177"/>
      <c r="CP100" s="177"/>
      <c r="CQ100" s="87"/>
      <c r="CR100" s="87"/>
      <c r="CS100" s="87"/>
      <c r="CT100" s="87"/>
      <c r="CU100" s="87"/>
      <c r="CV100" s="87"/>
      <c r="CW100" s="87"/>
    </row>
    <row r="101" spans="1:101" s="176" customFormat="1" outlineLevel="2">
      <c r="A101" s="174"/>
      <c r="B101" s="174"/>
      <c r="C101" s="174"/>
      <c r="D101" s="174"/>
      <c r="E101" s="174"/>
      <c r="F101" s="174"/>
      <c r="G101" s="174"/>
      <c r="H101" s="174"/>
      <c r="I101" s="174"/>
      <c r="J101" s="352">
        <v>8</v>
      </c>
      <c r="K101" s="353"/>
      <c r="L101" s="388" t="s">
        <v>215</v>
      </c>
      <c r="M101" s="388"/>
      <c r="N101" s="388"/>
      <c r="O101" s="388"/>
      <c r="P101" s="388"/>
      <c r="Q101" s="388"/>
      <c r="R101" s="388"/>
      <c r="S101" s="388"/>
      <c r="T101" s="388"/>
      <c r="U101" s="388"/>
      <c r="V101" s="388"/>
      <c r="W101" s="388"/>
      <c r="X101" s="407">
        <v>6000</v>
      </c>
      <c r="Y101" s="407"/>
      <c r="Z101" s="407"/>
      <c r="AA101" s="407"/>
      <c r="AB101" s="407"/>
      <c r="AC101" s="407"/>
      <c r="AD101" s="407"/>
      <c r="AE101" s="407"/>
      <c r="AF101" s="413">
        <f t="shared" si="6"/>
        <v>2.5</v>
      </c>
      <c r="AG101" s="413"/>
      <c r="AH101" s="413"/>
      <c r="AI101" s="413"/>
      <c r="AJ101" s="413"/>
      <c r="AK101" s="413"/>
      <c r="AL101" s="413"/>
      <c r="AM101" s="413"/>
      <c r="AN101" s="408">
        <v>1</v>
      </c>
      <c r="AO101" s="408"/>
      <c r="AP101" s="408"/>
      <c r="AQ101" s="408"/>
      <c r="AR101" s="408"/>
      <c r="AS101" s="408"/>
      <c r="AT101" s="408"/>
      <c r="AU101" s="408"/>
      <c r="AV101" s="382">
        <f t="shared" si="7"/>
        <v>15000</v>
      </c>
      <c r="AW101" s="382"/>
      <c r="AX101" s="382"/>
      <c r="AY101" s="382"/>
      <c r="AZ101" s="382"/>
      <c r="BA101" s="382"/>
      <c r="BB101" s="382"/>
      <c r="BC101" s="382"/>
      <c r="BD101" s="174"/>
      <c r="BE101" s="174"/>
      <c r="BF101" s="174"/>
      <c r="BG101" s="174"/>
      <c r="BH101" s="174"/>
      <c r="BI101" s="174"/>
      <c r="BJ101" s="174"/>
      <c r="BK101" s="174"/>
      <c r="BL101" s="174"/>
      <c r="BN101" s="177"/>
      <c r="BO101" s="177"/>
      <c r="BP101" s="177"/>
      <c r="BQ101" s="177"/>
      <c r="BR101" s="177"/>
      <c r="BS101" s="177"/>
      <c r="BT101" s="177"/>
      <c r="BU101" s="177"/>
      <c r="BV101" s="177"/>
      <c r="BW101" s="177"/>
      <c r="BX101" s="177"/>
      <c r="BY101" s="177"/>
      <c r="BZ101" s="177"/>
      <c r="CA101" s="177"/>
      <c r="CB101" s="177"/>
      <c r="CC101" s="177"/>
      <c r="CD101" s="177"/>
      <c r="CE101" s="177"/>
      <c r="CF101" s="177"/>
      <c r="CG101" s="177"/>
      <c r="CH101" s="177"/>
      <c r="CI101" s="177"/>
      <c r="CJ101" s="177"/>
      <c r="CK101" s="177"/>
      <c r="CL101" s="177"/>
      <c r="CM101" s="177"/>
      <c r="CN101" s="177"/>
      <c r="CO101" s="177"/>
      <c r="CP101" s="177"/>
      <c r="CQ101" s="87"/>
      <c r="CR101" s="87"/>
      <c r="CS101" s="87"/>
      <c r="CT101" s="87"/>
      <c r="CU101" s="87"/>
      <c r="CV101" s="87"/>
      <c r="CW101" s="87"/>
    </row>
    <row r="102" spans="1:101" s="176" customFormat="1" ht="6.95" customHeight="1" outlineLevel="1">
      <c r="A102" s="174"/>
      <c r="B102" s="174"/>
      <c r="C102" s="174"/>
      <c r="D102" s="174"/>
      <c r="E102" s="174"/>
      <c r="F102" s="174"/>
      <c r="G102" s="174"/>
      <c r="H102" s="174"/>
      <c r="I102" s="174"/>
      <c r="J102" s="174"/>
      <c r="K102" s="174"/>
      <c r="L102" s="174"/>
      <c r="M102" s="174"/>
      <c r="N102" s="174"/>
      <c r="O102" s="174"/>
      <c r="P102" s="174"/>
      <c r="Q102" s="174"/>
      <c r="R102" s="174"/>
      <c r="S102" s="174"/>
      <c r="T102" s="174"/>
      <c r="U102" s="174"/>
      <c r="V102" s="174"/>
      <c r="W102" s="174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74"/>
      <c r="AH102" s="174"/>
      <c r="AI102" s="174"/>
      <c r="AJ102" s="174"/>
      <c r="AK102" s="174"/>
      <c r="AL102" s="174"/>
      <c r="AM102" s="174"/>
      <c r="AN102" s="174"/>
      <c r="AO102" s="174"/>
      <c r="AP102" s="174"/>
      <c r="AQ102" s="174"/>
      <c r="AR102" s="174"/>
      <c r="AS102" s="174"/>
      <c r="AT102" s="174"/>
      <c r="AU102" s="174"/>
      <c r="AV102" s="174"/>
      <c r="AW102" s="174"/>
      <c r="AX102" s="174"/>
      <c r="AY102" s="174"/>
      <c r="AZ102" s="174"/>
      <c r="BA102" s="174"/>
      <c r="BB102" s="174"/>
      <c r="BC102" s="174"/>
      <c r="BD102" s="174"/>
      <c r="BE102" s="174"/>
      <c r="BF102" s="174"/>
      <c r="BG102" s="174"/>
      <c r="BH102" s="174"/>
      <c r="BI102" s="174"/>
      <c r="BJ102" s="174"/>
      <c r="BK102" s="174"/>
      <c r="BL102" s="174"/>
      <c r="BN102" s="177"/>
      <c r="BO102" s="177"/>
      <c r="BP102" s="177"/>
      <c r="BQ102" s="177"/>
      <c r="BR102" s="177"/>
      <c r="BS102" s="177"/>
      <c r="BT102" s="177"/>
      <c r="BU102" s="177"/>
      <c r="BV102" s="177"/>
      <c r="BW102" s="177"/>
      <c r="BX102" s="177"/>
      <c r="BY102" s="177"/>
      <c r="BZ102" s="177"/>
      <c r="CA102" s="177"/>
      <c r="CB102" s="177"/>
      <c r="CC102" s="177"/>
      <c r="CD102" s="177"/>
      <c r="CE102" s="177"/>
      <c r="CF102" s="177"/>
      <c r="CG102" s="177"/>
      <c r="CH102" s="177"/>
      <c r="CI102" s="177"/>
      <c r="CJ102" s="177"/>
      <c r="CK102" s="177"/>
      <c r="CL102" s="177"/>
      <c r="CM102" s="177"/>
      <c r="CN102" s="177"/>
      <c r="CO102" s="177"/>
      <c r="CP102" s="177"/>
      <c r="CQ102" s="87"/>
      <c r="CR102" s="87"/>
      <c r="CS102" s="87"/>
      <c r="CT102" s="87"/>
      <c r="CU102" s="87"/>
      <c r="CV102" s="87"/>
      <c r="CW102" s="87"/>
    </row>
    <row r="103" spans="1:101" s="176" customFormat="1" outlineLevel="1">
      <c r="A103" s="174"/>
      <c r="B103" s="174"/>
      <c r="C103" s="174"/>
      <c r="D103" s="174"/>
      <c r="E103" s="174"/>
      <c r="F103" s="174"/>
      <c r="G103" s="174"/>
      <c r="H103" s="174"/>
      <c r="I103" s="174"/>
      <c r="J103" s="174"/>
      <c r="K103" s="174"/>
      <c r="L103" s="174"/>
      <c r="M103" s="174"/>
      <c r="N103" s="174"/>
      <c r="O103" s="174"/>
      <c r="P103" s="174"/>
      <c r="Q103" s="174"/>
      <c r="R103" s="174"/>
      <c r="S103" s="174"/>
      <c r="T103" s="174"/>
      <c r="U103" s="174"/>
      <c r="V103" s="174"/>
      <c r="W103" s="174"/>
      <c r="X103" s="174"/>
      <c r="Y103" s="174"/>
      <c r="Z103" s="174"/>
      <c r="AA103" s="174"/>
      <c r="AB103" s="383" t="s">
        <v>178</v>
      </c>
      <c r="AC103" s="383"/>
      <c r="AD103" s="383"/>
      <c r="AE103" s="383" t="str">
        <f>B91</f>
        <v>1.4. Gastos de Oficina de Campo</v>
      </c>
      <c r="AF103" s="383"/>
      <c r="AG103" s="383"/>
      <c r="AH103" s="383"/>
      <c r="AI103" s="383"/>
      <c r="AJ103" s="383"/>
      <c r="AK103" s="383"/>
      <c r="AL103" s="383"/>
      <c r="AM103" s="383"/>
      <c r="AN103" s="383"/>
      <c r="AO103" s="383"/>
      <c r="AP103" s="383"/>
      <c r="AQ103" s="383"/>
      <c r="AR103" s="383"/>
      <c r="AS103" s="383"/>
      <c r="AT103" s="383"/>
      <c r="AU103" s="383"/>
      <c r="AV103" s="414">
        <f>SUM(AV94:BC101)</f>
        <v>21250</v>
      </c>
      <c r="AW103" s="414"/>
      <c r="AX103" s="414"/>
      <c r="AY103" s="414"/>
      <c r="AZ103" s="414"/>
      <c r="BA103" s="414"/>
      <c r="BB103" s="414"/>
      <c r="BC103" s="414"/>
      <c r="BD103" s="387">
        <f>AV103/$AW$215</f>
        <v>2.3516204608752963E-3</v>
      </c>
      <c r="BE103" s="387"/>
      <c r="BF103" s="387"/>
      <c r="BG103" s="387"/>
      <c r="BH103" s="387"/>
      <c r="BI103" s="387" t="s">
        <v>179</v>
      </c>
      <c r="BJ103" s="387"/>
      <c r="BK103" s="387"/>
      <c r="BL103" s="174"/>
      <c r="BN103" s="177"/>
      <c r="BO103" s="177"/>
      <c r="BP103" s="177"/>
      <c r="BQ103" s="177"/>
      <c r="BR103" s="177"/>
      <c r="BS103" s="177"/>
      <c r="BT103" s="177"/>
      <c r="BU103" s="177"/>
      <c r="BV103" s="177"/>
      <c r="BW103" s="177"/>
      <c r="BX103" s="177"/>
      <c r="BY103" s="177"/>
      <c r="BZ103" s="177"/>
      <c r="CA103" s="177"/>
      <c r="CB103" s="177"/>
      <c r="CC103" s="177"/>
      <c r="CD103" s="177"/>
      <c r="CE103" s="177"/>
      <c r="CF103" s="177"/>
      <c r="CG103" s="177"/>
      <c r="CH103" s="177"/>
      <c r="CI103" s="177"/>
      <c r="CJ103" s="177"/>
      <c r="CK103" s="177"/>
      <c r="CL103" s="177"/>
      <c r="CM103" s="177"/>
      <c r="CN103" s="177"/>
      <c r="CO103" s="177"/>
      <c r="CP103" s="177"/>
      <c r="CQ103" s="87"/>
      <c r="CR103" s="87"/>
      <c r="CS103" s="87"/>
      <c r="CT103" s="87"/>
      <c r="CU103" s="87"/>
      <c r="CV103" s="87"/>
      <c r="CW103" s="87"/>
    </row>
    <row r="104" spans="1:101" s="176" customFormat="1" ht="6.95" customHeight="1" outlineLevel="1">
      <c r="A104" s="174"/>
      <c r="B104" s="174"/>
      <c r="C104" s="174"/>
      <c r="D104" s="174"/>
      <c r="E104" s="174"/>
      <c r="F104" s="174"/>
      <c r="G104" s="174"/>
      <c r="H104" s="174"/>
      <c r="I104" s="174"/>
      <c r="J104" s="174"/>
      <c r="K104" s="174"/>
      <c r="L104" s="174"/>
      <c r="M104" s="174"/>
      <c r="N104" s="174"/>
      <c r="O104" s="174"/>
      <c r="P104" s="174"/>
      <c r="Q104" s="174"/>
      <c r="R104" s="174"/>
      <c r="S104" s="174"/>
      <c r="T104" s="174"/>
      <c r="U104" s="174"/>
      <c r="V104" s="174"/>
      <c r="W104" s="174"/>
      <c r="X104" s="174"/>
      <c r="Y104" s="174"/>
      <c r="Z104" s="174"/>
      <c r="AA104" s="174"/>
      <c r="AB104" s="174"/>
      <c r="AC104" s="174"/>
      <c r="AD104" s="174"/>
      <c r="AE104" s="174"/>
      <c r="AF104" s="174"/>
      <c r="AG104" s="174"/>
      <c r="AH104" s="174"/>
      <c r="AI104" s="174"/>
      <c r="AJ104" s="174"/>
      <c r="AK104" s="174"/>
      <c r="AL104" s="174"/>
      <c r="AM104" s="174"/>
      <c r="AN104" s="174"/>
      <c r="AO104" s="174"/>
      <c r="AP104" s="174"/>
      <c r="AQ104" s="174"/>
      <c r="AR104" s="174"/>
      <c r="AS104" s="174"/>
      <c r="AT104" s="174"/>
      <c r="AU104" s="174"/>
      <c r="AV104" s="174"/>
      <c r="AW104" s="174"/>
      <c r="AX104" s="174"/>
      <c r="AY104" s="174"/>
      <c r="AZ104" s="174"/>
      <c r="BA104" s="174"/>
      <c r="BB104" s="174"/>
      <c r="BC104" s="174"/>
      <c r="BD104" s="174"/>
      <c r="BE104" s="174"/>
      <c r="BF104" s="174"/>
      <c r="BG104" s="174"/>
      <c r="BH104" s="174"/>
      <c r="BI104" s="174"/>
      <c r="BJ104" s="174"/>
      <c r="BK104" s="174"/>
      <c r="BL104" s="174"/>
      <c r="BN104" s="177"/>
      <c r="BO104" s="177"/>
      <c r="BP104" s="177"/>
      <c r="BQ104" s="177"/>
      <c r="BR104" s="177"/>
      <c r="BS104" s="177"/>
      <c r="BT104" s="177"/>
      <c r="BU104" s="177"/>
      <c r="BV104" s="177"/>
      <c r="BW104" s="177"/>
      <c r="BX104" s="177"/>
      <c r="BY104" s="177"/>
      <c r="BZ104" s="177"/>
      <c r="CA104" s="177"/>
      <c r="CB104" s="177"/>
      <c r="CC104" s="177"/>
      <c r="CD104" s="177"/>
      <c r="CE104" s="177"/>
      <c r="CF104" s="177"/>
      <c r="CG104" s="177"/>
      <c r="CH104" s="177"/>
      <c r="CI104" s="177"/>
      <c r="CJ104" s="177"/>
      <c r="CK104" s="177"/>
      <c r="CL104" s="177"/>
      <c r="CM104" s="177"/>
      <c r="CN104" s="177"/>
      <c r="CO104" s="177"/>
      <c r="CP104" s="177"/>
      <c r="CQ104" s="87"/>
      <c r="CR104" s="87"/>
      <c r="CS104" s="87"/>
      <c r="CT104" s="87"/>
      <c r="CU104" s="87"/>
      <c r="CV104" s="87"/>
      <c r="CW104" s="87"/>
    </row>
    <row r="105" spans="1:101" s="176" customFormat="1" outlineLevel="1">
      <c r="A105" s="174"/>
      <c r="B105" s="185" t="s">
        <v>216</v>
      </c>
      <c r="C105" s="174"/>
      <c r="D105" s="174"/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174"/>
      <c r="Q105" s="174"/>
      <c r="R105" s="174"/>
      <c r="S105" s="174"/>
      <c r="T105" s="174"/>
      <c r="U105" s="174"/>
      <c r="V105" s="174"/>
      <c r="W105" s="174"/>
      <c r="X105" s="174"/>
      <c r="Y105" s="174"/>
      <c r="Z105" s="174"/>
      <c r="AA105" s="174"/>
      <c r="AB105" s="174"/>
      <c r="AC105" s="174"/>
      <c r="AD105" s="174"/>
      <c r="AE105" s="174"/>
      <c r="AF105" s="174"/>
      <c r="AG105" s="174"/>
      <c r="AH105" s="174"/>
      <c r="AI105" s="174"/>
      <c r="AJ105" s="174"/>
      <c r="AK105" s="174"/>
      <c r="AL105" s="174"/>
      <c r="AM105" s="174"/>
      <c r="AN105" s="174"/>
      <c r="AO105" s="174"/>
      <c r="AP105" s="174"/>
      <c r="AQ105" s="174"/>
      <c r="AR105" s="174"/>
      <c r="AS105" s="174"/>
      <c r="AT105" s="174"/>
      <c r="AU105" s="174"/>
      <c r="AV105" s="174"/>
      <c r="AW105" s="174"/>
      <c r="AX105" s="174"/>
      <c r="AY105" s="174"/>
      <c r="AZ105" s="174"/>
      <c r="BA105" s="174"/>
      <c r="BB105" s="174"/>
      <c r="BC105" s="174"/>
      <c r="BD105" s="174"/>
      <c r="BE105" s="174"/>
      <c r="BF105" s="174"/>
      <c r="BG105" s="174"/>
      <c r="BH105" s="174"/>
      <c r="BI105" s="174"/>
      <c r="BJ105" s="174"/>
      <c r="BK105" s="174"/>
      <c r="BL105" s="174"/>
      <c r="BN105" s="177"/>
      <c r="BO105" s="177"/>
      <c r="BP105" s="177"/>
      <c r="BQ105" s="177"/>
      <c r="BR105" s="177"/>
      <c r="BS105" s="177"/>
      <c r="BT105" s="177"/>
      <c r="BU105" s="177"/>
      <c r="BV105" s="177"/>
      <c r="BW105" s="177"/>
      <c r="BX105" s="177"/>
      <c r="BY105" s="177"/>
      <c r="BZ105" s="177"/>
      <c r="CA105" s="177"/>
      <c r="CB105" s="177"/>
      <c r="CC105" s="177"/>
      <c r="CD105" s="177"/>
      <c r="CE105" s="177"/>
      <c r="CF105" s="177"/>
      <c r="CG105" s="177"/>
      <c r="CH105" s="177"/>
      <c r="CI105" s="177"/>
      <c r="CJ105" s="177"/>
      <c r="CK105" s="177"/>
      <c r="CL105" s="177"/>
      <c r="CM105" s="177"/>
      <c r="CN105" s="177"/>
      <c r="CO105" s="177"/>
      <c r="CP105" s="177"/>
      <c r="CQ105" s="87"/>
      <c r="CR105" s="87"/>
      <c r="CS105" s="87"/>
      <c r="CT105" s="87"/>
      <c r="CU105" s="87"/>
      <c r="CV105" s="87"/>
      <c r="CW105" s="87"/>
    </row>
    <row r="106" spans="1:101" s="176" customFormat="1" ht="6.95" customHeight="1" outlineLevel="2">
      <c r="A106" s="174"/>
      <c r="B106" s="174"/>
      <c r="C106" s="174"/>
      <c r="D106" s="174"/>
      <c r="E106" s="174"/>
      <c r="F106" s="174"/>
      <c r="G106" s="174"/>
      <c r="H106" s="174"/>
      <c r="I106" s="174"/>
      <c r="J106" s="174"/>
      <c r="K106" s="174"/>
      <c r="L106" s="174"/>
      <c r="M106" s="174"/>
      <c r="N106" s="174"/>
      <c r="O106" s="174"/>
      <c r="P106" s="174"/>
      <c r="Q106" s="174"/>
      <c r="R106" s="174"/>
      <c r="S106" s="174"/>
      <c r="T106" s="174"/>
      <c r="U106" s="174"/>
      <c r="V106" s="174"/>
      <c r="W106" s="174"/>
      <c r="X106" s="174"/>
      <c r="Y106" s="174"/>
      <c r="Z106" s="174"/>
      <c r="AA106" s="174"/>
      <c r="AB106" s="174"/>
      <c r="AC106" s="174"/>
      <c r="AD106" s="174"/>
      <c r="AE106" s="174"/>
      <c r="AF106" s="174"/>
      <c r="AG106" s="174"/>
      <c r="AH106" s="174"/>
      <c r="AI106" s="174"/>
      <c r="AJ106" s="174"/>
      <c r="AK106" s="174"/>
      <c r="AL106" s="174"/>
      <c r="AM106" s="174"/>
      <c r="AN106" s="174"/>
      <c r="AO106" s="174"/>
      <c r="AP106" s="174"/>
      <c r="AQ106" s="174"/>
      <c r="AR106" s="174"/>
      <c r="AS106" s="174"/>
      <c r="AT106" s="174"/>
      <c r="AU106" s="174"/>
      <c r="AV106" s="174"/>
      <c r="AW106" s="174"/>
      <c r="AX106" s="174"/>
      <c r="AY106" s="174"/>
      <c r="AZ106" s="174"/>
      <c r="BA106" s="174"/>
      <c r="BB106" s="174"/>
      <c r="BC106" s="174"/>
      <c r="BD106" s="174"/>
      <c r="BE106" s="174"/>
      <c r="BF106" s="174"/>
      <c r="BG106" s="174"/>
      <c r="BH106" s="174"/>
      <c r="BI106" s="174"/>
      <c r="BJ106" s="174"/>
      <c r="BK106" s="174"/>
      <c r="BL106" s="174"/>
      <c r="BN106" s="177"/>
      <c r="BO106" s="177"/>
      <c r="BP106" s="177"/>
      <c r="BQ106" s="177"/>
      <c r="BR106" s="177"/>
      <c r="BS106" s="177"/>
      <c r="BT106" s="177"/>
      <c r="BU106" s="177"/>
      <c r="BV106" s="177"/>
      <c r="BW106" s="177"/>
      <c r="BX106" s="177"/>
      <c r="BY106" s="177"/>
      <c r="BZ106" s="177"/>
      <c r="CA106" s="177"/>
      <c r="CB106" s="177"/>
      <c r="CC106" s="177"/>
      <c r="CD106" s="177"/>
      <c r="CE106" s="177"/>
      <c r="CF106" s="177"/>
      <c r="CG106" s="177"/>
      <c r="CH106" s="177"/>
      <c r="CI106" s="177"/>
      <c r="CJ106" s="177"/>
      <c r="CK106" s="177"/>
      <c r="CL106" s="177"/>
      <c r="CM106" s="177"/>
      <c r="CN106" s="177"/>
      <c r="CO106" s="177"/>
      <c r="CP106" s="177"/>
      <c r="CQ106" s="87"/>
      <c r="CR106" s="87"/>
      <c r="CS106" s="87"/>
      <c r="CT106" s="87"/>
      <c r="CU106" s="87"/>
      <c r="CV106" s="87"/>
      <c r="CW106" s="87"/>
    </row>
    <row r="107" spans="1:101" s="176" customFormat="1" outlineLevel="2">
      <c r="A107" s="174"/>
      <c r="B107" s="174"/>
      <c r="C107" s="174"/>
      <c r="D107" s="174"/>
      <c r="E107" s="174"/>
      <c r="F107" s="174"/>
      <c r="G107" s="174"/>
      <c r="H107" s="174"/>
      <c r="I107" s="174"/>
      <c r="J107" s="415" t="s">
        <v>153</v>
      </c>
      <c r="K107" s="416"/>
      <c r="L107" s="417" t="s">
        <v>21</v>
      </c>
      <c r="M107" s="417"/>
      <c r="N107" s="417"/>
      <c r="O107" s="417"/>
      <c r="P107" s="417"/>
      <c r="Q107" s="417"/>
      <c r="R107" s="417"/>
      <c r="S107" s="417"/>
      <c r="T107" s="417"/>
      <c r="U107" s="417"/>
      <c r="V107" s="417"/>
      <c r="W107" s="417"/>
      <c r="X107" s="417" t="s">
        <v>182</v>
      </c>
      <c r="Y107" s="417"/>
      <c r="Z107" s="417"/>
      <c r="AA107" s="417"/>
      <c r="AB107" s="417"/>
      <c r="AC107" s="417"/>
      <c r="AD107" s="417"/>
      <c r="AE107" s="417"/>
      <c r="AF107" s="343" t="s">
        <v>184</v>
      </c>
      <c r="AG107" s="343"/>
      <c r="AH107" s="343"/>
      <c r="AI107" s="343"/>
      <c r="AJ107" s="343"/>
      <c r="AK107" s="343"/>
      <c r="AL107" s="343"/>
      <c r="AM107" s="343"/>
      <c r="AN107" s="417" t="s">
        <v>60</v>
      </c>
      <c r="AO107" s="417"/>
      <c r="AP107" s="417"/>
      <c r="AQ107" s="417"/>
      <c r="AR107" s="417"/>
      <c r="AS107" s="417"/>
      <c r="AT107" s="417"/>
      <c r="AU107" s="417"/>
      <c r="AV107" s="417" t="s">
        <v>62</v>
      </c>
      <c r="AW107" s="417"/>
      <c r="AX107" s="417"/>
      <c r="AY107" s="417"/>
      <c r="AZ107" s="417"/>
      <c r="BA107" s="417"/>
      <c r="BB107" s="417"/>
      <c r="BC107" s="417"/>
      <c r="BD107" s="174"/>
      <c r="BE107" s="174"/>
      <c r="BF107" s="174"/>
      <c r="BG107" s="174"/>
      <c r="BH107" s="174"/>
      <c r="BI107" s="174"/>
      <c r="BJ107" s="174"/>
      <c r="BK107" s="174"/>
      <c r="BL107" s="174"/>
      <c r="BN107" s="177"/>
      <c r="BO107" s="177"/>
      <c r="BP107" s="177"/>
      <c r="BQ107" s="177"/>
      <c r="BR107" s="177"/>
      <c r="BS107" s="177"/>
      <c r="BT107" s="177"/>
      <c r="BU107" s="177"/>
      <c r="BV107" s="177"/>
      <c r="BW107" s="177"/>
      <c r="BX107" s="177"/>
      <c r="BY107" s="177"/>
      <c r="BZ107" s="177"/>
      <c r="CA107" s="177"/>
      <c r="CB107" s="177"/>
      <c r="CC107" s="177"/>
      <c r="CD107" s="177"/>
      <c r="CE107" s="177"/>
      <c r="CF107" s="177"/>
      <c r="CG107" s="177"/>
      <c r="CH107" s="177"/>
      <c r="CI107" s="177"/>
      <c r="CJ107" s="177"/>
      <c r="CK107" s="177"/>
      <c r="CL107" s="177"/>
      <c r="CM107" s="177"/>
      <c r="CN107" s="177"/>
      <c r="CO107" s="177"/>
      <c r="CP107" s="177"/>
      <c r="CQ107" s="87"/>
      <c r="CR107" s="87"/>
      <c r="CS107" s="87"/>
      <c r="CT107" s="87"/>
      <c r="CU107" s="87"/>
      <c r="CV107" s="87"/>
      <c r="CW107" s="87"/>
    </row>
    <row r="108" spans="1:101" s="176" customFormat="1" outlineLevel="2">
      <c r="A108" s="174"/>
      <c r="B108" s="174"/>
      <c r="C108" s="174"/>
      <c r="D108" s="174"/>
      <c r="E108" s="174"/>
      <c r="F108" s="174"/>
      <c r="G108" s="174"/>
      <c r="H108" s="174"/>
      <c r="I108" s="174"/>
      <c r="J108" s="352">
        <v>1</v>
      </c>
      <c r="K108" s="353"/>
      <c r="L108" s="388" t="s">
        <v>217</v>
      </c>
      <c r="M108" s="388"/>
      <c r="N108" s="388"/>
      <c r="O108" s="388"/>
      <c r="P108" s="388"/>
      <c r="Q108" s="388"/>
      <c r="R108" s="388"/>
      <c r="S108" s="388"/>
      <c r="T108" s="388"/>
      <c r="U108" s="388"/>
      <c r="V108" s="388"/>
      <c r="W108" s="388"/>
      <c r="X108" s="407">
        <v>0</v>
      </c>
      <c r="Y108" s="407"/>
      <c r="Z108" s="407"/>
      <c r="AA108" s="407"/>
      <c r="AB108" s="407"/>
      <c r="AC108" s="407"/>
      <c r="AD108" s="407"/>
      <c r="AE108" s="407"/>
      <c r="AF108" s="408">
        <v>1</v>
      </c>
      <c r="AG108" s="408"/>
      <c r="AH108" s="408"/>
      <c r="AI108" s="408"/>
      <c r="AJ108" s="408"/>
      <c r="AK108" s="408"/>
      <c r="AL108" s="408"/>
      <c r="AM108" s="408"/>
      <c r="AN108" s="407">
        <v>1</v>
      </c>
      <c r="AO108" s="407"/>
      <c r="AP108" s="407"/>
      <c r="AQ108" s="407"/>
      <c r="AR108" s="407"/>
      <c r="AS108" s="407"/>
      <c r="AT108" s="407"/>
      <c r="AU108" s="407"/>
      <c r="AV108" s="382">
        <f>X108*AF108*AN108</f>
        <v>0</v>
      </c>
      <c r="AW108" s="382"/>
      <c r="AX108" s="382"/>
      <c r="AY108" s="382"/>
      <c r="AZ108" s="382"/>
      <c r="BA108" s="382"/>
      <c r="BB108" s="382"/>
      <c r="BC108" s="382"/>
      <c r="BD108" s="174"/>
      <c r="BE108" s="174"/>
      <c r="BF108" s="174"/>
      <c r="BG108" s="174"/>
      <c r="BH108" s="174"/>
      <c r="BI108" s="174"/>
      <c r="BJ108" s="174"/>
      <c r="BK108" s="174"/>
      <c r="BL108" s="174"/>
      <c r="BN108" s="177"/>
      <c r="BO108" s="177"/>
      <c r="BP108" s="177"/>
      <c r="BQ108" s="177"/>
      <c r="BR108" s="177"/>
      <c r="BS108" s="177"/>
      <c r="BT108" s="177"/>
      <c r="BU108" s="177"/>
      <c r="BV108" s="177"/>
      <c r="BW108" s="177"/>
      <c r="BX108" s="177"/>
      <c r="BY108" s="177"/>
      <c r="BZ108" s="177"/>
      <c r="CA108" s="177"/>
      <c r="CB108" s="177"/>
      <c r="CC108" s="177"/>
      <c r="CD108" s="177"/>
      <c r="CE108" s="177"/>
      <c r="CF108" s="177"/>
      <c r="CG108" s="177"/>
      <c r="CH108" s="177"/>
      <c r="CI108" s="177"/>
      <c r="CJ108" s="177"/>
      <c r="CK108" s="177"/>
      <c r="CL108" s="177"/>
      <c r="CM108" s="177"/>
      <c r="CN108" s="177"/>
      <c r="CO108" s="177"/>
      <c r="CP108" s="177"/>
      <c r="CQ108" s="87"/>
      <c r="CR108" s="87"/>
      <c r="CS108" s="87"/>
      <c r="CT108" s="87"/>
      <c r="CU108" s="87"/>
      <c r="CV108" s="87"/>
      <c r="CW108" s="87"/>
    </row>
    <row r="109" spans="1:101" s="176" customFormat="1" outlineLevel="2">
      <c r="A109" s="174"/>
      <c r="B109" s="174"/>
      <c r="C109" s="174"/>
      <c r="D109" s="174"/>
      <c r="E109" s="174"/>
      <c r="F109" s="174"/>
      <c r="G109" s="174"/>
      <c r="H109" s="174"/>
      <c r="I109" s="174"/>
      <c r="J109" s="352">
        <v>2</v>
      </c>
      <c r="K109" s="353"/>
      <c r="L109" s="388" t="s">
        <v>218</v>
      </c>
      <c r="M109" s="388"/>
      <c r="N109" s="388"/>
      <c r="O109" s="388"/>
      <c r="P109" s="388"/>
      <c r="Q109" s="388"/>
      <c r="R109" s="388"/>
      <c r="S109" s="388"/>
      <c r="T109" s="388"/>
      <c r="U109" s="388"/>
      <c r="V109" s="388"/>
      <c r="W109" s="388"/>
      <c r="X109" s="407">
        <v>0</v>
      </c>
      <c r="Y109" s="407"/>
      <c r="Z109" s="407"/>
      <c r="AA109" s="407"/>
      <c r="AB109" s="407"/>
      <c r="AC109" s="407"/>
      <c r="AD109" s="407"/>
      <c r="AE109" s="407"/>
      <c r="AF109" s="408">
        <v>0</v>
      </c>
      <c r="AG109" s="408"/>
      <c r="AH109" s="408"/>
      <c r="AI109" s="408"/>
      <c r="AJ109" s="408"/>
      <c r="AK109" s="408"/>
      <c r="AL109" s="408"/>
      <c r="AM109" s="408"/>
      <c r="AN109" s="407">
        <v>0</v>
      </c>
      <c r="AO109" s="407"/>
      <c r="AP109" s="407"/>
      <c r="AQ109" s="407"/>
      <c r="AR109" s="407"/>
      <c r="AS109" s="407"/>
      <c r="AT109" s="407"/>
      <c r="AU109" s="407"/>
      <c r="AV109" s="382">
        <f>X109*AF109*AN109</f>
        <v>0</v>
      </c>
      <c r="AW109" s="382"/>
      <c r="AX109" s="382"/>
      <c r="AY109" s="382"/>
      <c r="AZ109" s="382"/>
      <c r="BA109" s="382"/>
      <c r="BB109" s="382"/>
      <c r="BC109" s="382"/>
      <c r="BD109" s="174"/>
      <c r="BE109" s="174"/>
      <c r="BF109" s="174"/>
      <c r="BG109" s="174"/>
      <c r="BH109" s="174"/>
      <c r="BI109" s="174"/>
      <c r="BJ109" s="174"/>
      <c r="BK109" s="174"/>
      <c r="BL109" s="174"/>
      <c r="BN109" s="177"/>
      <c r="BO109" s="177"/>
      <c r="BP109" s="177"/>
      <c r="BQ109" s="177"/>
      <c r="BR109" s="177"/>
      <c r="BS109" s="177"/>
      <c r="BT109" s="177"/>
      <c r="BU109" s="177"/>
      <c r="BV109" s="177"/>
      <c r="BW109" s="177"/>
      <c r="BX109" s="177"/>
      <c r="BY109" s="177"/>
      <c r="BZ109" s="177"/>
      <c r="CA109" s="177"/>
      <c r="CB109" s="177"/>
      <c r="CC109" s="177"/>
      <c r="CD109" s="177"/>
      <c r="CE109" s="177"/>
      <c r="CF109" s="177"/>
      <c r="CG109" s="177"/>
      <c r="CH109" s="177"/>
      <c r="CI109" s="177"/>
      <c r="CJ109" s="177"/>
      <c r="CK109" s="177"/>
      <c r="CL109" s="177"/>
      <c r="CM109" s="177"/>
      <c r="CN109" s="177"/>
      <c r="CO109" s="177"/>
      <c r="CP109" s="177"/>
      <c r="CQ109" s="87"/>
      <c r="CR109" s="87"/>
      <c r="CS109" s="87"/>
      <c r="CT109" s="87"/>
      <c r="CU109" s="87"/>
      <c r="CV109" s="87"/>
      <c r="CW109" s="87"/>
    </row>
    <row r="110" spans="1:101" s="176" customFormat="1" outlineLevel="2">
      <c r="A110" s="174"/>
      <c r="B110" s="174"/>
      <c r="C110" s="174"/>
      <c r="D110" s="174"/>
      <c r="E110" s="174"/>
      <c r="F110" s="174"/>
      <c r="G110" s="174"/>
      <c r="H110" s="174"/>
      <c r="I110" s="174"/>
      <c r="J110" s="352">
        <v>3</v>
      </c>
      <c r="K110" s="353"/>
      <c r="L110" s="388" t="s">
        <v>219</v>
      </c>
      <c r="M110" s="388"/>
      <c r="N110" s="388"/>
      <c r="O110" s="388"/>
      <c r="P110" s="388"/>
      <c r="Q110" s="388"/>
      <c r="R110" s="388"/>
      <c r="S110" s="388"/>
      <c r="T110" s="388"/>
      <c r="U110" s="388"/>
      <c r="V110" s="388"/>
      <c r="W110" s="388"/>
      <c r="X110" s="407">
        <v>0</v>
      </c>
      <c r="Y110" s="407"/>
      <c r="Z110" s="407"/>
      <c r="AA110" s="407"/>
      <c r="AB110" s="407"/>
      <c r="AC110" s="407"/>
      <c r="AD110" s="407"/>
      <c r="AE110" s="407"/>
      <c r="AF110" s="408">
        <v>0</v>
      </c>
      <c r="AG110" s="408"/>
      <c r="AH110" s="408"/>
      <c r="AI110" s="408"/>
      <c r="AJ110" s="408"/>
      <c r="AK110" s="408"/>
      <c r="AL110" s="408"/>
      <c r="AM110" s="408"/>
      <c r="AN110" s="407">
        <v>0</v>
      </c>
      <c r="AO110" s="407"/>
      <c r="AP110" s="407"/>
      <c r="AQ110" s="407"/>
      <c r="AR110" s="407"/>
      <c r="AS110" s="407"/>
      <c r="AT110" s="407"/>
      <c r="AU110" s="407"/>
      <c r="AV110" s="382">
        <f>X110*AF110*AN110</f>
        <v>0</v>
      </c>
      <c r="AW110" s="382"/>
      <c r="AX110" s="382"/>
      <c r="AY110" s="382"/>
      <c r="AZ110" s="382"/>
      <c r="BA110" s="382"/>
      <c r="BB110" s="382"/>
      <c r="BC110" s="382"/>
      <c r="BD110" s="174"/>
      <c r="BE110" s="174"/>
      <c r="BF110" s="174"/>
      <c r="BG110" s="174"/>
      <c r="BH110" s="174"/>
      <c r="BI110" s="174"/>
      <c r="BJ110" s="174"/>
      <c r="BK110" s="174"/>
      <c r="BL110" s="174"/>
      <c r="BN110" s="177"/>
      <c r="BO110" s="177"/>
      <c r="BP110" s="177"/>
      <c r="BQ110" s="177"/>
      <c r="BR110" s="177"/>
      <c r="BS110" s="177"/>
      <c r="BT110" s="177"/>
      <c r="BU110" s="177"/>
      <c r="BV110" s="177"/>
      <c r="BW110" s="177"/>
      <c r="BX110" s="177"/>
      <c r="BY110" s="177"/>
      <c r="BZ110" s="177"/>
      <c r="CA110" s="177"/>
      <c r="CB110" s="177"/>
      <c r="CC110" s="177"/>
      <c r="CD110" s="177"/>
      <c r="CE110" s="177"/>
      <c r="CF110" s="177"/>
      <c r="CG110" s="177"/>
      <c r="CH110" s="177"/>
      <c r="CI110" s="177"/>
      <c r="CJ110" s="177"/>
      <c r="CK110" s="177"/>
      <c r="CL110" s="177"/>
      <c r="CM110" s="177"/>
      <c r="CN110" s="177"/>
      <c r="CO110" s="177"/>
      <c r="CP110" s="177"/>
      <c r="CQ110" s="87"/>
      <c r="CR110" s="87"/>
      <c r="CS110" s="87"/>
      <c r="CT110" s="87"/>
      <c r="CU110" s="87"/>
      <c r="CV110" s="87"/>
      <c r="CW110" s="87"/>
    </row>
    <row r="111" spans="1:101" s="176" customFormat="1" outlineLevel="2">
      <c r="A111" s="174"/>
      <c r="B111" s="174"/>
      <c r="C111" s="174"/>
      <c r="D111" s="174"/>
      <c r="E111" s="174"/>
      <c r="F111" s="174"/>
      <c r="G111" s="174"/>
      <c r="H111" s="174"/>
      <c r="I111" s="174"/>
      <c r="J111" s="352">
        <v>4</v>
      </c>
      <c r="K111" s="353"/>
      <c r="L111" s="388" t="s">
        <v>220</v>
      </c>
      <c r="M111" s="388"/>
      <c r="N111" s="388"/>
      <c r="O111" s="388"/>
      <c r="P111" s="388"/>
      <c r="Q111" s="388"/>
      <c r="R111" s="388"/>
      <c r="S111" s="388"/>
      <c r="T111" s="388"/>
      <c r="U111" s="388"/>
      <c r="V111" s="388"/>
      <c r="W111" s="388"/>
      <c r="X111" s="407">
        <v>0</v>
      </c>
      <c r="Y111" s="407"/>
      <c r="Z111" s="407"/>
      <c r="AA111" s="407"/>
      <c r="AB111" s="407"/>
      <c r="AC111" s="407"/>
      <c r="AD111" s="407"/>
      <c r="AE111" s="407"/>
      <c r="AF111" s="408">
        <v>4</v>
      </c>
      <c r="AG111" s="408"/>
      <c r="AH111" s="408"/>
      <c r="AI111" s="408"/>
      <c r="AJ111" s="408"/>
      <c r="AK111" s="408"/>
      <c r="AL111" s="408"/>
      <c r="AM111" s="408"/>
      <c r="AN111" s="407">
        <v>1</v>
      </c>
      <c r="AO111" s="407"/>
      <c r="AP111" s="407"/>
      <c r="AQ111" s="407"/>
      <c r="AR111" s="407"/>
      <c r="AS111" s="407"/>
      <c r="AT111" s="407"/>
      <c r="AU111" s="407"/>
      <c r="AV111" s="382">
        <f>X111*AF111*AN111</f>
        <v>0</v>
      </c>
      <c r="AW111" s="382"/>
      <c r="AX111" s="382"/>
      <c r="AY111" s="382"/>
      <c r="AZ111" s="382"/>
      <c r="BA111" s="382"/>
      <c r="BB111" s="382"/>
      <c r="BC111" s="382"/>
      <c r="BD111" s="174"/>
      <c r="BE111" s="174"/>
      <c r="BF111" s="174"/>
      <c r="BG111" s="174"/>
      <c r="BH111" s="174"/>
      <c r="BI111" s="174"/>
      <c r="BJ111" s="174"/>
      <c r="BK111" s="174"/>
      <c r="BL111" s="174"/>
      <c r="BN111" s="177"/>
      <c r="BO111" s="177"/>
      <c r="BP111" s="177"/>
      <c r="BQ111" s="177"/>
      <c r="BR111" s="177"/>
      <c r="BS111" s="177"/>
      <c r="BT111" s="177"/>
      <c r="BU111" s="177"/>
      <c r="BV111" s="177"/>
      <c r="BW111" s="177"/>
      <c r="BX111" s="177"/>
      <c r="BY111" s="177"/>
      <c r="BZ111" s="177"/>
      <c r="CA111" s="177"/>
      <c r="CB111" s="177"/>
      <c r="CC111" s="177"/>
      <c r="CD111" s="177"/>
      <c r="CE111" s="177"/>
      <c r="CF111" s="177"/>
      <c r="CG111" s="177"/>
      <c r="CH111" s="177"/>
      <c r="CI111" s="177"/>
      <c r="CJ111" s="177"/>
      <c r="CK111" s="177"/>
      <c r="CL111" s="177"/>
      <c r="CM111" s="177"/>
      <c r="CN111" s="177"/>
      <c r="CO111" s="177"/>
      <c r="CP111" s="177"/>
      <c r="CQ111" s="87"/>
      <c r="CR111" s="87"/>
      <c r="CS111" s="87"/>
      <c r="CT111" s="87"/>
      <c r="CU111" s="87"/>
      <c r="CV111" s="87"/>
      <c r="CW111" s="87"/>
    </row>
    <row r="112" spans="1:101" s="176" customFormat="1" outlineLevel="2">
      <c r="A112" s="174"/>
      <c r="B112" s="174"/>
      <c r="C112" s="174"/>
      <c r="D112" s="174"/>
      <c r="E112" s="174"/>
      <c r="F112" s="174"/>
      <c r="G112" s="174"/>
      <c r="H112" s="174"/>
      <c r="I112" s="174"/>
      <c r="J112" s="352">
        <v>5</v>
      </c>
      <c r="K112" s="353"/>
      <c r="L112" s="388" t="s">
        <v>221</v>
      </c>
      <c r="M112" s="388"/>
      <c r="N112" s="388"/>
      <c r="O112" s="388"/>
      <c r="P112" s="388"/>
      <c r="Q112" s="388"/>
      <c r="R112" s="388"/>
      <c r="S112" s="388"/>
      <c r="T112" s="388"/>
      <c r="U112" s="388"/>
      <c r="V112" s="388"/>
      <c r="W112" s="388"/>
      <c r="X112" s="407">
        <v>0</v>
      </c>
      <c r="Y112" s="407"/>
      <c r="Z112" s="407"/>
      <c r="AA112" s="407"/>
      <c r="AB112" s="407"/>
      <c r="AC112" s="407"/>
      <c r="AD112" s="407"/>
      <c r="AE112" s="407"/>
      <c r="AF112" s="408">
        <v>0</v>
      </c>
      <c r="AG112" s="408"/>
      <c r="AH112" s="408"/>
      <c r="AI112" s="408"/>
      <c r="AJ112" s="408"/>
      <c r="AK112" s="408"/>
      <c r="AL112" s="408"/>
      <c r="AM112" s="408"/>
      <c r="AN112" s="407">
        <v>0</v>
      </c>
      <c r="AO112" s="407"/>
      <c r="AP112" s="407"/>
      <c r="AQ112" s="407"/>
      <c r="AR112" s="407"/>
      <c r="AS112" s="407"/>
      <c r="AT112" s="407"/>
      <c r="AU112" s="407"/>
      <c r="AV112" s="382">
        <f>X112*AF112*AN112</f>
        <v>0</v>
      </c>
      <c r="AW112" s="382"/>
      <c r="AX112" s="382"/>
      <c r="AY112" s="382"/>
      <c r="AZ112" s="382"/>
      <c r="BA112" s="382"/>
      <c r="BB112" s="382"/>
      <c r="BC112" s="382"/>
      <c r="BD112" s="174"/>
      <c r="BE112" s="174"/>
      <c r="BF112" s="174"/>
      <c r="BG112" s="174"/>
      <c r="BH112" s="174"/>
      <c r="BI112" s="174"/>
      <c r="BJ112" s="174"/>
      <c r="BK112" s="174"/>
      <c r="BL112" s="174"/>
      <c r="BN112" s="177"/>
      <c r="BO112" s="177"/>
      <c r="BP112" s="177"/>
      <c r="BQ112" s="177"/>
      <c r="BR112" s="177"/>
      <c r="BS112" s="177"/>
      <c r="BT112" s="177"/>
      <c r="BU112" s="177"/>
      <c r="BV112" s="177"/>
      <c r="BW112" s="177"/>
      <c r="BX112" s="177"/>
      <c r="BY112" s="177"/>
      <c r="BZ112" s="177"/>
      <c r="CA112" s="177"/>
      <c r="CB112" s="177"/>
      <c r="CC112" s="177"/>
      <c r="CD112" s="177"/>
      <c r="CE112" s="177"/>
      <c r="CF112" s="177"/>
      <c r="CG112" s="177"/>
      <c r="CH112" s="177"/>
      <c r="CI112" s="177"/>
      <c r="CJ112" s="177"/>
      <c r="CK112" s="177"/>
      <c r="CL112" s="177"/>
      <c r="CM112" s="177"/>
      <c r="CN112" s="177"/>
      <c r="CO112" s="177"/>
      <c r="CP112" s="177"/>
      <c r="CQ112" s="87"/>
      <c r="CR112" s="87"/>
      <c r="CS112" s="87"/>
      <c r="CT112" s="87"/>
      <c r="CU112" s="87"/>
      <c r="CV112" s="87"/>
      <c r="CW112" s="87"/>
    </row>
    <row r="113" spans="1:101" s="176" customFormat="1" ht="6.95" customHeight="1" outlineLevel="1">
      <c r="A113" s="174"/>
      <c r="B113" s="174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  <c r="AH113" s="174"/>
      <c r="AI113" s="174"/>
      <c r="AJ113" s="174"/>
      <c r="AK113" s="174"/>
      <c r="AL113" s="174"/>
      <c r="AM113" s="174"/>
      <c r="AN113" s="174"/>
      <c r="AO113" s="174"/>
      <c r="AP113" s="174"/>
      <c r="AQ113" s="174"/>
      <c r="AR113" s="174"/>
      <c r="AS113" s="174"/>
      <c r="AT113" s="174"/>
      <c r="AU113" s="174"/>
      <c r="AV113" s="174"/>
      <c r="AW113" s="174"/>
      <c r="AX113" s="174"/>
      <c r="AY113" s="174"/>
      <c r="AZ113" s="174"/>
      <c r="BA113" s="174"/>
      <c r="BB113" s="174"/>
      <c r="BC113" s="174"/>
      <c r="BD113" s="174"/>
      <c r="BE113" s="174"/>
      <c r="BF113" s="174"/>
      <c r="BG113" s="174"/>
      <c r="BH113" s="174"/>
      <c r="BI113" s="174"/>
      <c r="BJ113" s="174"/>
      <c r="BK113" s="174"/>
      <c r="BL113" s="174"/>
      <c r="BN113" s="177"/>
      <c r="BO113" s="177"/>
      <c r="BP113" s="177"/>
      <c r="BQ113" s="177"/>
      <c r="BR113" s="177"/>
      <c r="BS113" s="177"/>
      <c r="BT113" s="177"/>
      <c r="BU113" s="177"/>
      <c r="BV113" s="177"/>
      <c r="BW113" s="177"/>
      <c r="BX113" s="177"/>
      <c r="BY113" s="177"/>
      <c r="BZ113" s="177"/>
      <c r="CA113" s="177"/>
      <c r="CB113" s="177"/>
      <c r="CC113" s="177"/>
      <c r="CD113" s="177"/>
      <c r="CE113" s="177"/>
      <c r="CF113" s="177"/>
      <c r="CG113" s="177"/>
      <c r="CH113" s="177"/>
      <c r="CI113" s="177"/>
      <c r="CJ113" s="177"/>
      <c r="CK113" s="177"/>
      <c r="CL113" s="177"/>
      <c r="CM113" s="177"/>
      <c r="CN113" s="177"/>
      <c r="CO113" s="177"/>
      <c r="CP113" s="177"/>
      <c r="CQ113" s="87"/>
      <c r="CR113" s="87"/>
      <c r="CS113" s="87"/>
      <c r="CT113" s="87"/>
      <c r="CU113" s="87"/>
      <c r="CV113" s="87"/>
      <c r="CW113" s="87"/>
    </row>
    <row r="114" spans="1:101" s="176" customFormat="1" outlineLevel="1">
      <c r="A114" s="174"/>
      <c r="B114" s="174"/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  <c r="P114" s="174"/>
      <c r="Q114" s="174"/>
      <c r="R114" s="174"/>
      <c r="S114" s="174"/>
      <c r="T114" s="174"/>
      <c r="U114" s="174"/>
      <c r="V114" s="174"/>
      <c r="W114" s="174"/>
      <c r="X114" s="174"/>
      <c r="Y114" s="174"/>
      <c r="Z114" s="174"/>
      <c r="AA114" s="174"/>
      <c r="AB114" s="383" t="s">
        <v>178</v>
      </c>
      <c r="AC114" s="383"/>
      <c r="AD114" s="383"/>
      <c r="AE114" s="383" t="str">
        <f>B105</f>
        <v>1.5. Fletes y Acarreos</v>
      </c>
      <c r="AF114" s="383"/>
      <c r="AG114" s="383"/>
      <c r="AH114" s="383"/>
      <c r="AI114" s="383"/>
      <c r="AJ114" s="383"/>
      <c r="AK114" s="383"/>
      <c r="AL114" s="383"/>
      <c r="AM114" s="383"/>
      <c r="AN114" s="383"/>
      <c r="AO114" s="383"/>
      <c r="AP114" s="383"/>
      <c r="AQ114" s="383"/>
      <c r="AR114" s="383"/>
      <c r="AS114" s="383"/>
      <c r="AT114" s="383"/>
      <c r="AU114" s="383"/>
      <c r="AV114" s="403">
        <f>SUM(AV108:BC112)</f>
        <v>0</v>
      </c>
      <c r="AW114" s="403"/>
      <c r="AX114" s="403"/>
      <c r="AY114" s="403"/>
      <c r="AZ114" s="403"/>
      <c r="BA114" s="403"/>
      <c r="BB114" s="403"/>
      <c r="BC114" s="403"/>
      <c r="BD114" s="387">
        <f>AV114/$AW$215</f>
        <v>0</v>
      </c>
      <c r="BE114" s="387"/>
      <c r="BF114" s="387"/>
      <c r="BG114" s="387"/>
      <c r="BH114" s="387"/>
      <c r="BI114" s="387" t="s">
        <v>179</v>
      </c>
      <c r="BJ114" s="387"/>
      <c r="BK114" s="387"/>
      <c r="BL114" s="174"/>
      <c r="BN114" s="177"/>
      <c r="BO114" s="177"/>
      <c r="BP114" s="177"/>
      <c r="BQ114" s="177"/>
      <c r="BR114" s="177"/>
      <c r="BS114" s="177"/>
      <c r="BT114" s="177"/>
      <c r="BU114" s="177"/>
      <c r="BV114" s="177"/>
      <c r="BW114" s="177"/>
      <c r="BX114" s="177"/>
      <c r="BY114" s="177"/>
      <c r="BZ114" s="177"/>
      <c r="CA114" s="177"/>
      <c r="CB114" s="177"/>
      <c r="CC114" s="177"/>
      <c r="CD114" s="177"/>
      <c r="CE114" s="177"/>
      <c r="CF114" s="177"/>
      <c r="CG114" s="177"/>
      <c r="CH114" s="177"/>
      <c r="CI114" s="177"/>
      <c r="CJ114" s="177"/>
      <c r="CK114" s="177"/>
      <c r="CL114" s="177"/>
      <c r="CM114" s="177"/>
      <c r="CN114" s="177"/>
      <c r="CO114" s="177"/>
      <c r="CP114" s="177"/>
      <c r="CQ114" s="87"/>
      <c r="CR114" s="87"/>
      <c r="CS114" s="87"/>
      <c r="CT114" s="87"/>
      <c r="CU114" s="87"/>
      <c r="CV114" s="87"/>
      <c r="CW114" s="87"/>
    </row>
    <row r="115" spans="1:101" s="176" customFormat="1" ht="6.95" customHeight="1" outlineLevel="1">
      <c r="A115" s="174"/>
      <c r="B115" s="174"/>
      <c r="C115" s="174"/>
      <c r="D115" s="174"/>
      <c r="E115" s="174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  <c r="AH115" s="174"/>
      <c r="AI115" s="174"/>
      <c r="AJ115" s="174"/>
      <c r="AK115" s="174"/>
      <c r="AL115" s="174"/>
      <c r="AM115" s="174"/>
      <c r="AN115" s="174"/>
      <c r="AO115" s="174"/>
      <c r="AP115" s="174"/>
      <c r="AQ115" s="174"/>
      <c r="AR115" s="174"/>
      <c r="AS115" s="174"/>
      <c r="AT115" s="174"/>
      <c r="AU115" s="174"/>
      <c r="AV115" s="174"/>
      <c r="AW115" s="174"/>
      <c r="AX115" s="174"/>
      <c r="AY115" s="174"/>
      <c r="AZ115" s="174"/>
      <c r="BA115" s="174"/>
      <c r="BB115" s="174"/>
      <c r="BC115" s="174"/>
      <c r="BD115" s="174"/>
      <c r="BE115" s="174"/>
      <c r="BF115" s="174"/>
      <c r="BG115" s="174"/>
      <c r="BH115" s="174"/>
      <c r="BI115" s="174"/>
      <c r="BJ115" s="174"/>
      <c r="BK115" s="174"/>
      <c r="BL115" s="174"/>
      <c r="BN115" s="177"/>
      <c r="BO115" s="177"/>
      <c r="BP115" s="177"/>
      <c r="BQ115" s="177"/>
      <c r="BR115" s="177"/>
      <c r="BS115" s="177"/>
      <c r="BT115" s="177"/>
      <c r="BU115" s="177"/>
      <c r="BV115" s="177"/>
      <c r="BW115" s="177"/>
      <c r="BX115" s="177"/>
      <c r="BY115" s="177"/>
      <c r="BZ115" s="177"/>
      <c r="CA115" s="177"/>
      <c r="CB115" s="177"/>
      <c r="CC115" s="177"/>
      <c r="CD115" s="177"/>
      <c r="CE115" s="177"/>
      <c r="CF115" s="177"/>
      <c r="CG115" s="177"/>
      <c r="CH115" s="177"/>
      <c r="CI115" s="177"/>
      <c r="CJ115" s="177"/>
      <c r="CK115" s="177"/>
      <c r="CL115" s="177"/>
      <c r="CM115" s="177"/>
      <c r="CN115" s="177"/>
      <c r="CO115" s="177"/>
      <c r="CP115" s="177"/>
      <c r="CQ115" s="87"/>
      <c r="CR115" s="87"/>
      <c r="CS115" s="87"/>
      <c r="CT115" s="87"/>
      <c r="CU115" s="87"/>
      <c r="CV115" s="87"/>
      <c r="CW115" s="87"/>
    </row>
    <row r="116" spans="1:101" s="176" customFormat="1" outlineLevel="1">
      <c r="A116" s="174"/>
      <c r="B116" s="185" t="s">
        <v>222</v>
      </c>
      <c r="C116" s="174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4"/>
      <c r="Y116" s="174"/>
      <c r="Z116" s="174"/>
      <c r="AA116" s="174"/>
      <c r="AB116" s="174"/>
      <c r="AC116" s="174"/>
      <c r="AD116" s="174"/>
      <c r="AE116" s="174"/>
      <c r="AF116" s="174"/>
      <c r="AG116" s="174"/>
      <c r="AH116" s="174"/>
      <c r="AI116" s="174"/>
      <c r="AJ116" s="174"/>
      <c r="AK116" s="174"/>
      <c r="AL116" s="174"/>
      <c r="AM116" s="174"/>
      <c r="AN116" s="174"/>
      <c r="AO116" s="174"/>
      <c r="AP116" s="174"/>
      <c r="AQ116" s="174"/>
      <c r="AR116" s="174"/>
      <c r="AS116" s="174"/>
      <c r="AT116" s="174"/>
      <c r="AU116" s="174"/>
      <c r="AV116" s="174"/>
      <c r="AW116" s="174"/>
      <c r="AX116" s="174"/>
      <c r="AY116" s="174"/>
      <c r="AZ116" s="174"/>
      <c r="BA116" s="174"/>
      <c r="BB116" s="174"/>
      <c r="BC116" s="174"/>
      <c r="BD116" s="174"/>
      <c r="BE116" s="174"/>
      <c r="BF116" s="174"/>
      <c r="BG116" s="174"/>
      <c r="BH116" s="174"/>
      <c r="BI116" s="174"/>
      <c r="BJ116" s="174"/>
      <c r="BK116" s="174"/>
      <c r="BL116" s="174"/>
      <c r="BN116" s="177"/>
      <c r="BO116" s="177"/>
      <c r="BP116" s="177"/>
      <c r="BQ116" s="177"/>
      <c r="BR116" s="177"/>
      <c r="BS116" s="177"/>
      <c r="BT116" s="177"/>
      <c r="BU116" s="177"/>
      <c r="BV116" s="177"/>
      <c r="BW116" s="177"/>
      <c r="BX116" s="177"/>
      <c r="BY116" s="177"/>
      <c r="BZ116" s="177"/>
      <c r="CA116" s="177"/>
      <c r="CB116" s="177"/>
      <c r="CC116" s="177"/>
      <c r="CD116" s="177"/>
      <c r="CE116" s="177"/>
      <c r="CF116" s="177"/>
      <c r="CG116" s="177"/>
      <c r="CH116" s="177"/>
      <c r="CI116" s="177"/>
      <c r="CJ116" s="177"/>
      <c r="CK116" s="177"/>
      <c r="CL116" s="177"/>
      <c r="CM116" s="177"/>
      <c r="CN116" s="177"/>
      <c r="CO116" s="177"/>
      <c r="CP116" s="177"/>
      <c r="CQ116" s="87"/>
      <c r="CR116" s="87"/>
      <c r="CS116" s="87"/>
      <c r="CT116" s="87"/>
      <c r="CU116" s="87"/>
      <c r="CV116" s="87"/>
      <c r="CW116" s="87"/>
    </row>
    <row r="117" spans="1:101" s="176" customFormat="1" ht="6.95" customHeight="1" outlineLevel="2">
      <c r="A117" s="174"/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74"/>
      <c r="P117" s="174"/>
      <c r="Q117" s="174"/>
      <c r="R117" s="174"/>
      <c r="S117" s="174"/>
      <c r="T117" s="174"/>
      <c r="U117" s="174"/>
      <c r="V117" s="174"/>
      <c r="W117" s="174"/>
      <c r="X117" s="174"/>
      <c r="Y117" s="174"/>
      <c r="Z117" s="174"/>
      <c r="AA117" s="174"/>
      <c r="AB117" s="174"/>
      <c r="AC117" s="174"/>
      <c r="AD117" s="174"/>
      <c r="AE117" s="174"/>
      <c r="AF117" s="174"/>
      <c r="AG117" s="174"/>
      <c r="AH117" s="174"/>
      <c r="AI117" s="174"/>
      <c r="AJ117" s="174"/>
      <c r="AK117" s="174"/>
      <c r="AL117" s="174"/>
      <c r="AM117" s="174"/>
      <c r="AN117" s="174"/>
      <c r="AO117" s="174"/>
      <c r="AP117" s="174"/>
      <c r="AQ117" s="174"/>
      <c r="AR117" s="174"/>
      <c r="AS117" s="174"/>
      <c r="AT117" s="174"/>
      <c r="AU117" s="174"/>
      <c r="AV117" s="174"/>
      <c r="AW117" s="174"/>
      <c r="AX117" s="174"/>
      <c r="AY117" s="174"/>
      <c r="AZ117" s="174"/>
      <c r="BA117" s="174"/>
      <c r="BB117" s="174"/>
      <c r="BC117" s="174"/>
      <c r="BD117" s="174"/>
      <c r="BE117" s="174"/>
      <c r="BF117" s="174"/>
      <c r="BG117" s="174"/>
      <c r="BH117" s="174"/>
      <c r="BI117" s="174"/>
      <c r="BJ117" s="174"/>
      <c r="BK117" s="174"/>
      <c r="BL117" s="174"/>
      <c r="BN117" s="177"/>
      <c r="BO117" s="177"/>
      <c r="BP117" s="177"/>
      <c r="BQ117" s="177"/>
      <c r="BR117" s="177"/>
      <c r="BS117" s="177"/>
      <c r="BT117" s="177"/>
      <c r="BU117" s="177"/>
      <c r="BV117" s="177"/>
      <c r="BW117" s="177"/>
      <c r="BX117" s="177"/>
      <c r="BY117" s="177"/>
      <c r="BZ117" s="177"/>
      <c r="CA117" s="177"/>
      <c r="CB117" s="177"/>
      <c r="CC117" s="177"/>
      <c r="CD117" s="177"/>
      <c r="CE117" s="177"/>
      <c r="CF117" s="177"/>
      <c r="CG117" s="177"/>
      <c r="CH117" s="177"/>
      <c r="CI117" s="177"/>
      <c r="CJ117" s="177"/>
      <c r="CK117" s="177"/>
      <c r="CL117" s="177"/>
      <c r="CM117" s="177"/>
      <c r="CN117" s="177"/>
      <c r="CO117" s="177"/>
      <c r="CP117" s="177"/>
      <c r="CQ117" s="87"/>
      <c r="CR117" s="87"/>
      <c r="CS117" s="87"/>
      <c r="CT117" s="87"/>
      <c r="CU117" s="87"/>
      <c r="CV117" s="87"/>
      <c r="CW117" s="87"/>
    </row>
    <row r="118" spans="1:101" s="176" customFormat="1" outlineLevel="2">
      <c r="A118" s="174"/>
      <c r="B118" s="174"/>
      <c r="C118" s="174"/>
      <c r="D118" s="174"/>
      <c r="E118" s="174"/>
      <c r="J118" s="378" t="s">
        <v>153</v>
      </c>
      <c r="K118" s="379"/>
      <c r="L118" s="343" t="s">
        <v>21</v>
      </c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3" t="s">
        <v>182</v>
      </c>
      <c r="Y118" s="343"/>
      <c r="Z118" s="343"/>
      <c r="AA118" s="343"/>
      <c r="AB118" s="343"/>
      <c r="AC118" s="343"/>
      <c r="AD118" s="343"/>
      <c r="AE118" s="343"/>
      <c r="AF118" s="343" t="s">
        <v>183</v>
      </c>
      <c r="AG118" s="343"/>
      <c r="AH118" s="343"/>
      <c r="AI118" s="343"/>
      <c r="AJ118" s="343"/>
      <c r="AK118" s="343"/>
      <c r="AL118" s="343"/>
      <c r="AM118" s="343"/>
      <c r="AN118" s="343" t="s">
        <v>60</v>
      </c>
      <c r="AO118" s="343"/>
      <c r="AP118" s="343"/>
      <c r="AQ118" s="343"/>
      <c r="AR118" s="343"/>
      <c r="AS118" s="343"/>
      <c r="AT118" s="343"/>
      <c r="AU118" s="343"/>
      <c r="AV118" s="343" t="s">
        <v>62</v>
      </c>
      <c r="AW118" s="343"/>
      <c r="AX118" s="343"/>
      <c r="AY118" s="343"/>
      <c r="AZ118" s="343"/>
      <c r="BA118" s="343"/>
      <c r="BB118" s="343"/>
      <c r="BC118" s="343"/>
    </row>
    <row r="119" spans="1:101" s="176" customFormat="1" outlineLevel="2">
      <c r="A119" s="174"/>
      <c r="B119" s="174"/>
      <c r="C119" s="174"/>
      <c r="D119" s="174"/>
      <c r="E119" s="174"/>
      <c r="J119" s="391">
        <v>1</v>
      </c>
      <c r="K119" s="392"/>
      <c r="L119" s="388" t="s">
        <v>223</v>
      </c>
      <c r="M119" s="388"/>
      <c r="N119" s="388"/>
      <c r="O119" s="388"/>
      <c r="P119" s="388"/>
      <c r="Q119" s="388"/>
      <c r="R119" s="388"/>
      <c r="S119" s="388"/>
      <c r="T119" s="388"/>
      <c r="U119" s="388"/>
      <c r="V119" s="388"/>
      <c r="W119" s="388"/>
      <c r="X119" s="407">
        <v>350</v>
      </c>
      <c r="Y119" s="407"/>
      <c r="Z119" s="407"/>
      <c r="AA119" s="407"/>
      <c r="AB119" s="407"/>
      <c r="AC119" s="407"/>
      <c r="AD119" s="407"/>
      <c r="AE119" s="407"/>
      <c r="AF119" s="413">
        <f>$AB$52</f>
        <v>5</v>
      </c>
      <c r="AG119" s="413"/>
      <c r="AH119" s="413"/>
      <c r="AI119" s="413"/>
      <c r="AJ119" s="413"/>
      <c r="AK119" s="413"/>
      <c r="AL119" s="413"/>
      <c r="AM119" s="413"/>
      <c r="AN119" s="408">
        <v>3</v>
      </c>
      <c r="AO119" s="408"/>
      <c r="AP119" s="408"/>
      <c r="AQ119" s="408"/>
      <c r="AR119" s="408"/>
      <c r="AS119" s="408"/>
      <c r="AT119" s="408"/>
      <c r="AU119" s="408"/>
      <c r="AV119" s="390">
        <f>X119*AF119*AN119</f>
        <v>5250</v>
      </c>
      <c r="AW119" s="390"/>
      <c r="AX119" s="390"/>
      <c r="AY119" s="390"/>
      <c r="AZ119" s="390"/>
      <c r="BA119" s="390"/>
      <c r="BB119" s="390"/>
      <c r="BC119" s="390"/>
    </row>
    <row r="120" spans="1:101" s="176" customFormat="1" outlineLevel="2">
      <c r="A120" s="174"/>
      <c r="B120" s="174"/>
      <c r="C120" s="174"/>
      <c r="D120" s="174"/>
      <c r="E120" s="174"/>
      <c r="J120" s="391">
        <v>2</v>
      </c>
      <c r="K120" s="392"/>
      <c r="L120" s="388" t="s">
        <v>224</v>
      </c>
      <c r="M120" s="388"/>
      <c r="N120" s="388"/>
      <c r="O120" s="388"/>
      <c r="P120" s="388"/>
      <c r="Q120" s="388"/>
      <c r="R120" s="388"/>
      <c r="S120" s="388"/>
      <c r="T120" s="388"/>
      <c r="U120" s="388"/>
      <c r="V120" s="388"/>
      <c r="W120" s="388"/>
      <c r="X120" s="407">
        <v>0</v>
      </c>
      <c r="Y120" s="407"/>
      <c r="Z120" s="407"/>
      <c r="AA120" s="407"/>
      <c r="AB120" s="407"/>
      <c r="AC120" s="407"/>
      <c r="AD120" s="407"/>
      <c r="AE120" s="407"/>
      <c r="AF120" s="413">
        <f>$AB$52</f>
        <v>5</v>
      </c>
      <c r="AG120" s="413"/>
      <c r="AH120" s="413"/>
      <c r="AI120" s="413"/>
      <c r="AJ120" s="413"/>
      <c r="AK120" s="413"/>
      <c r="AL120" s="413"/>
      <c r="AM120" s="413"/>
      <c r="AN120" s="408">
        <v>0</v>
      </c>
      <c r="AO120" s="408"/>
      <c r="AP120" s="408"/>
      <c r="AQ120" s="408"/>
      <c r="AR120" s="408"/>
      <c r="AS120" s="408"/>
      <c r="AT120" s="408"/>
      <c r="AU120" s="408"/>
      <c r="AV120" s="390">
        <f>X120*AF120*AN120</f>
        <v>0</v>
      </c>
      <c r="AW120" s="390"/>
      <c r="AX120" s="390"/>
      <c r="AY120" s="390"/>
      <c r="AZ120" s="390"/>
      <c r="BA120" s="390"/>
      <c r="BB120" s="390"/>
      <c r="BC120" s="390"/>
    </row>
    <row r="121" spans="1:101" s="176" customFormat="1" outlineLevel="2">
      <c r="A121" s="174"/>
      <c r="B121" s="174"/>
      <c r="C121" s="174"/>
      <c r="D121" s="174"/>
      <c r="E121" s="174"/>
      <c r="J121" s="391">
        <v>3</v>
      </c>
      <c r="K121" s="392"/>
      <c r="L121" s="388" t="s">
        <v>225</v>
      </c>
      <c r="M121" s="388"/>
      <c r="N121" s="388"/>
      <c r="O121" s="388"/>
      <c r="P121" s="388"/>
      <c r="Q121" s="388"/>
      <c r="R121" s="388"/>
      <c r="S121" s="388"/>
      <c r="T121" s="388"/>
      <c r="U121" s="388"/>
      <c r="V121" s="388"/>
      <c r="W121" s="388"/>
      <c r="X121" s="407">
        <v>0</v>
      </c>
      <c r="Y121" s="407"/>
      <c r="Z121" s="407"/>
      <c r="AA121" s="407"/>
      <c r="AB121" s="407"/>
      <c r="AC121" s="407"/>
      <c r="AD121" s="407"/>
      <c r="AE121" s="407"/>
      <c r="AF121" s="413">
        <f>$AB$52</f>
        <v>5</v>
      </c>
      <c r="AG121" s="413"/>
      <c r="AH121" s="413"/>
      <c r="AI121" s="413"/>
      <c r="AJ121" s="413"/>
      <c r="AK121" s="413"/>
      <c r="AL121" s="413"/>
      <c r="AM121" s="413"/>
      <c r="AN121" s="408">
        <v>0</v>
      </c>
      <c r="AO121" s="408"/>
      <c r="AP121" s="408"/>
      <c r="AQ121" s="408"/>
      <c r="AR121" s="408"/>
      <c r="AS121" s="408"/>
      <c r="AT121" s="408"/>
      <c r="AU121" s="408"/>
      <c r="AV121" s="390">
        <f>X121*AF121*AN121</f>
        <v>0</v>
      </c>
      <c r="AW121" s="390"/>
      <c r="AX121" s="390"/>
      <c r="AY121" s="390"/>
      <c r="AZ121" s="390"/>
      <c r="BA121" s="390"/>
      <c r="BB121" s="390"/>
      <c r="BC121" s="390"/>
    </row>
    <row r="122" spans="1:101" s="176" customFormat="1" outlineLevel="2">
      <c r="A122" s="174"/>
      <c r="B122" s="174"/>
      <c r="C122" s="174"/>
      <c r="D122" s="174"/>
      <c r="E122" s="174"/>
      <c r="J122" s="391">
        <v>4</v>
      </c>
      <c r="K122" s="392"/>
      <c r="L122" s="388" t="s">
        <v>226</v>
      </c>
      <c r="M122" s="388"/>
      <c r="N122" s="388"/>
      <c r="O122" s="388"/>
      <c r="P122" s="388"/>
      <c r="Q122" s="388"/>
      <c r="R122" s="388"/>
      <c r="S122" s="388"/>
      <c r="T122" s="388"/>
      <c r="U122" s="388"/>
      <c r="V122" s="388"/>
      <c r="W122" s="388"/>
      <c r="X122" s="407">
        <v>500</v>
      </c>
      <c r="Y122" s="407"/>
      <c r="Z122" s="407"/>
      <c r="AA122" s="407"/>
      <c r="AB122" s="407"/>
      <c r="AC122" s="407"/>
      <c r="AD122" s="407"/>
      <c r="AE122" s="407"/>
      <c r="AF122" s="413">
        <f>$AB$52</f>
        <v>5</v>
      </c>
      <c r="AG122" s="413"/>
      <c r="AH122" s="413"/>
      <c r="AI122" s="413"/>
      <c r="AJ122" s="413"/>
      <c r="AK122" s="413"/>
      <c r="AL122" s="413"/>
      <c r="AM122" s="413"/>
      <c r="AN122" s="408">
        <v>1</v>
      </c>
      <c r="AO122" s="408"/>
      <c r="AP122" s="408"/>
      <c r="AQ122" s="408"/>
      <c r="AR122" s="408"/>
      <c r="AS122" s="408"/>
      <c r="AT122" s="408"/>
      <c r="AU122" s="408"/>
      <c r="AV122" s="390">
        <f>X122*AF122*AN122</f>
        <v>2500</v>
      </c>
      <c r="AW122" s="390"/>
      <c r="AX122" s="390"/>
      <c r="AY122" s="390"/>
      <c r="AZ122" s="390"/>
      <c r="BA122" s="390"/>
      <c r="BB122" s="390"/>
      <c r="BC122" s="390"/>
    </row>
    <row r="123" spans="1:101" s="176" customFormat="1" ht="6.95" customHeight="1" outlineLevel="1">
      <c r="A123" s="174"/>
      <c r="B123" s="174"/>
      <c r="C123" s="174"/>
      <c r="D123" s="174"/>
      <c r="E123" s="174"/>
      <c r="F123" s="174"/>
      <c r="G123" s="174"/>
      <c r="H123" s="174"/>
      <c r="I123" s="174"/>
      <c r="J123" s="174"/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V123" s="174"/>
      <c r="W123" s="174"/>
      <c r="X123" s="174"/>
      <c r="Y123" s="174"/>
      <c r="Z123" s="174"/>
      <c r="AA123" s="174"/>
      <c r="AB123" s="174"/>
      <c r="AC123" s="174"/>
      <c r="AD123" s="174"/>
      <c r="AE123" s="174"/>
      <c r="AF123" s="174"/>
      <c r="AG123" s="174"/>
      <c r="AH123" s="174"/>
      <c r="AI123" s="174"/>
      <c r="AJ123" s="174"/>
      <c r="AK123" s="174"/>
      <c r="AL123" s="174"/>
      <c r="AM123" s="174"/>
      <c r="AN123" s="174"/>
      <c r="AO123" s="174"/>
      <c r="AP123" s="174"/>
      <c r="AQ123" s="174"/>
      <c r="AR123" s="174"/>
      <c r="AS123" s="174"/>
      <c r="AT123" s="174"/>
      <c r="AU123" s="174"/>
      <c r="AV123" s="174"/>
      <c r="AW123" s="174"/>
      <c r="AX123" s="174"/>
      <c r="AY123" s="174"/>
      <c r="AZ123" s="174"/>
      <c r="BA123" s="174"/>
      <c r="BB123" s="174"/>
      <c r="BC123" s="174"/>
      <c r="BD123" s="174"/>
      <c r="BE123" s="174"/>
      <c r="BF123" s="174"/>
      <c r="BG123" s="174"/>
      <c r="BH123" s="174"/>
      <c r="BI123" s="174"/>
      <c r="BJ123" s="174"/>
      <c r="BK123" s="174"/>
      <c r="BL123" s="174"/>
      <c r="BN123" s="177"/>
      <c r="BO123" s="177"/>
      <c r="BP123" s="177"/>
      <c r="BQ123" s="177"/>
      <c r="BR123" s="177"/>
      <c r="BS123" s="177"/>
      <c r="BT123" s="177"/>
      <c r="BU123" s="177"/>
      <c r="BV123" s="177"/>
      <c r="BW123" s="177"/>
      <c r="BX123" s="177"/>
      <c r="BY123" s="177"/>
      <c r="BZ123" s="177"/>
      <c r="CA123" s="177"/>
      <c r="CB123" s="177"/>
      <c r="CC123" s="177"/>
      <c r="CD123" s="177"/>
      <c r="CE123" s="177"/>
      <c r="CF123" s="177"/>
      <c r="CG123" s="177"/>
      <c r="CH123" s="177"/>
      <c r="CI123" s="177"/>
      <c r="CJ123" s="177"/>
      <c r="CK123" s="177"/>
      <c r="CL123" s="177"/>
      <c r="CM123" s="177"/>
      <c r="CN123" s="177"/>
      <c r="CO123" s="177"/>
      <c r="CP123" s="177"/>
      <c r="CQ123" s="87"/>
      <c r="CR123" s="87"/>
      <c r="CS123" s="87"/>
      <c r="CT123" s="87"/>
      <c r="CU123" s="87"/>
      <c r="CV123" s="87"/>
      <c r="CW123" s="87"/>
    </row>
    <row r="124" spans="1:101" s="176" customFormat="1" outlineLevel="1">
      <c r="A124" s="174"/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V124" s="174"/>
      <c r="W124" s="174"/>
      <c r="X124" s="174"/>
      <c r="Y124" s="174"/>
      <c r="Z124" s="174"/>
      <c r="AA124" s="174"/>
      <c r="AB124" s="383" t="s">
        <v>178</v>
      </c>
      <c r="AC124" s="383"/>
      <c r="AD124" s="383"/>
      <c r="AE124" s="383" t="str">
        <f>B116</f>
        <v>1.6. Capacitación</v>
      </c>
      <c r="AF124" s="383"/>
      <c r="AG124" s="383"/>
      <c r="AH124" s="383"/>
      <c r="AI124" s="383"/>
      <c r="AJ124" s="383"/>
      <c r="AK124" s="383"/>
      <c r="AL124" s="383"/>
      <c r="AM124" s="383"/>
      <c r="AN124" s="383"/>
      <c r="AO124" s="383"/>
      <c r="AP124" s="383"/>
      <c r="AQ124" s="383"/>
      <c r="AR124" s="383"/>
      <c r="AS124" s="383"/>
      <c r="AT124" s="383"/>
      <c r="AU124" s="383"/>
      <c r="AV124" s="412">
        <f>SUM(AV119:BC122)</f>
        <v>7750</v>
      </c>
      <c r="AW124" s="412"/>
      <c r="AX124" s="412"/>
      <c r="AY124" s="412"/>
      <c r="AZ124" s="412"/>
      <c r="BA124" s="412"/>
      <c r="BB124" s="412"/>
      <c r="BC124" s="412"/>
      <c r="BD124" s="387">
        <f>AV124/$AW$215</f>
        <v>8.5764981514275509E-4</v>
      </c>
      <c r="BE124" s="387"/>
      <c r="BF124" s="387"/>
      <c r="BG124" s="387"/>
      <c r="BH124" s="387"/>
      <c r="BI124" s="387" t="s">
        <v>179</v>
      </c>
      <c r="BJ124" s="387"/>
      <c r="BK124" s="387"/>
      <c r="BL124" s="174"/>
      <c r="BN124" s="177"/>
      <c r="BO124" s="177"/>
      <c r="BP124" s="177"/>
      <c r="BQ124" s="177"/>
      <c r="BR124" s="177"/>
      <c r="BS124" s="177"/>
      <c r="BT124" s="177"/>
      <c r="BU124" s="177"/>
      <c r="BV124" s="177"/>
      <c r="BW124" s="177"/>
      <c r="BX124" s="177"/>
      <c r="BY124" s="177"/>
      <c r="BZ124" s="177"/>
      <c r="CA124" s="177"/>
      <c r="CB124" s="177"/>
      <c r="CC124" s="177"/>
      <c r="CD124" s="177"/>
      <c r="CE124" s="177"/>
      <c r="CF124" s="177"/>
      <c r="CG124" s="177"/>
      <c r="CH124" s="177"/>
      <c r="CI124" s="177"/>
      <c r="CJ124" s="177"/>
      <c r="CK124" s="177"/>
      <c r="CL124" s="177"/>
      <c r="CM124" s="177"/>
      <c r="CN124" s="177"/>
      <c r="CO124" s="177"/>
      <c r="CP124" s="177"/>
      <c r="CQ124" s="87"/>
      <c r="CR124" s="87"/>
      <c r="CS124" s="87"/>
      <c r="CT124" s="87"/>
      <c r="CU124" s="87"/>
      <c r="CV124" s="87"/>
      <c r="CW124" s="87"/>
    </row>
    <row r="125" spans="1:101" s="177" customFormat="1" ht="6.95" customHeight="1" outlineLevel="1">
      <c r="A125" s="174"/>
      <c r="B125" s="174"/>
      <c r="C125" s="174"/>
      <c r="D125" s="174"/>
      <c r="E125" s="174"/>
      <c r="F125" s="174"/>
      <c r="G125" s="174"/>
      <c r="H125" s="174"/>
      <c r="I125" s="174"/>
      <c r="J125" s="174"/>
      <c r="K125" s="174"/>
      <c r="L125" s="174"/>
      <c r="M125" s="174"/>
      <c r="N125" s="174"/>
      <c r="O125" s="174"/>
      <c r="P125" s="174"/>
      <c r="Q125" s="174"/>
      <c r="R125" s="174"/>
      <c r="S125" s="174"/>
      <c r="T125" s="174"/>
      <c r="U125" s="174"/>
      <c r="V125" s="174"/>
      <c r="W125" s="174"/>
      <c r="X125" s="174"/>
      <c r="Y125" s="174"/>
      <c r="Z125" s="174"/>
      <c r="AA125" s="174"/>
      <c r="AB125" s="174"/>
      <c r="AC125" s="174"/>
      <c r="AD125" s="174"/>
      <c r="AE125" s="174"/>
      <c r="AF125" s="174"/>
      <c r="AG125" s="174"/>
      <c r="AH125" s="174"/>
      <c r="AI125" s="174"/>
      <c r="AJ125" s="174"/>
      <c r="AK125" s="174"/>
      <c r="AL125" s="174"/>
      <c r="AM125" s="174"/>
      <c r="AN125" s="174"/>
      <c r="AO125" s="174"/>
      <c r="AP125" s="174"/>
      <c r="AQ125" s="174"/>
      <c r="AR125" s="174"/>
      <c r="AS125" s="174"/>
      <c r="AT125" s="174"/>
      <c r="AU125" s="174"/>
      <c r="AV125" s="174"/>
      <c r="AW125" s="174"/>
      <c r="AX125" s="174"/>
      <c r="AY125" s="174"/>
      <c r="AZ125" s="174"/>
      <c r="BA125" s="174"/>
      <c r="BB125" s="174"/>
      <c r="BC125" s="174"/>
      <c r="BD125" s="174"/>
      <c r="BE125" s="174"/>
      <c r="BF125" s="174"/>
      <c r="BG125" s="174"/>
      <c r="BH125" s="174"/>
      <c r="BI125" s="174"/>
      <c r="BJ125" s="174"/>
      <c r="BK125" s="174"/>
      <c r="BL125" s="174"/>
      <c r="BM125" s="176"/>
      <c r="CQ125" s="87"/>
      <c r="CR125" s="87"/>
      <c r="CS125" s="87"/>
      <c r="CT125" s="87"/>
      <c r="CU125" s="87"/>
      <c r="CV125" s="87"/>
      <c r="CW125" s="87"/>
    </row>
    <row r="126" spans="1:101" s="177" customFormat="1" outlineLevel="1">
      <c r="A126" s="174"/>
      <c r="B126" s="185" t="s">
        <v>227</v>
      </c>
      <c r="C126" s="174"/>
      <c r="D126" s="174"/>
      <c r="E126" s="174"/>
      <c r="F126" s="174"/>
      <c r="G126" s="174"/>
      <c r="H126" s="174"/>
      <c r="I126" s="174"/>
      <c r="J126" s="174"/>
      <c r="K126" s="174"/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V126" s="174"/>
      <c r="W126" s="174"/>
      <c r="X126" s="174"/>
      <c r="Y126" s="174"/>
      <c r="Z126" s="174"/>
      <c r="AA126" s="174"/>
      <c r="AB126" s="174"/>
      <c r="AC126" s="174"/>
      <c r="AD126" s="174"/>
      <c r="AE126" s="174"/>
      <c r="AF126" s="174"/>
      <c r="AG126" s="174"/>
      <c r="AH126" s="174"/>
      <c r="AI126" s="174"/>
      <c r="AJ126" s="174"/>
      <c r="AK126" s="174"/>
      <c r="AL126" s="174"/>
      <c r="AM126" s="174"/>
      <c r="AN126" s="174"/>
      <c r="AO126" s="174"/>
      <c r="AP126" s="174"/>
      <c r="AQ126" s="174"/>
      <c r="AR126" s="174"/>
      <c r="AS126" s="174"/>
      <c r="AT126" s="174"/>
      <c r="AU126" s="174"/>
      <c r="AV126" s="174"/>
      <c r="AW126" s="174"/>
      <c r="AX126" s="174"/>
      <c r="AY126" s="174"/>
      <c r="AZ126" s="174"/>
      <c r="BA126" s="174"/>
      <c r="BB126" s="174"/>
      <c r="BC126" s="174"/>
      <c r="BD126" s="174"/>
      <c r="BE126" s="174"/>
      <c r="BF126" s="174"/>
      <c r="BG126" s="174"/>
      <c r="BH126" s="174"/>
      <c r="BI126" s="174"/>
      <c r="BJ126" s="174"/>
      <c r="BK126" s="174"/>
      <c r="BL126" s="174"/>
      <c r="BM126" s="176"/>
      <c r="CQ126" s="87"/>
      <c r="CR126" s="87"/>
      <c r="CS126" s="87"/>
      <c r="CT126" s="87"/>
      <c r="CU126" s="87"/>
      <c r="CV126" s="87"/>
      <c r="CW126" s="87"/>
    </row>
    <row r="127" spans="1:101" s="177" customFormat="1" ht="6.95" customHeight="1" outlineLevel="2">
      <c r="A127" s="174"/>
      <c r="B127" s="174"/>
      <c r="C127" s="174"/>
      <c r="D127" s="174"/>
      <c r="E127" s="174"/>
      <c r="F127" s="174"/>
      <c r="G127" s="174"/>
      <c r="H127" s="174"/>
      <c r="I127" s="174"/>
      <c r="J127" s="174"/>
      <c r="K127" s="174"/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V127" s="174"/>
      <c r="W127" s="174"/>
      <c r="X127" s="174"/>
      <c r="Y127" s="174"/>
      <c r="Z127" s="174"/>
      <c r="AA127" s="174"/>
      <c r="AB127" s="174"/>
      <c r="AC127" s="174"/>
      <c r="AD127" s="174"/>
      <c r="AE127" s="174"/>
      <c r="AF127" s="174"/>
      <c r="AG127" s="174"/>
      <c r="AH127" s="174"/>
      <c r="AI127" s="174"/>
      <c r="AJ127" s="174"/>
      <c r="AK127" s="174"/>
      <c r="AL127" s="174"/>
      <c r="AM127" s="174"/>
      <c r="AN127" s="174"/>
      <c r="AO127" s="174"/>
      <c r="AP127" s="174"/>
      <c r="AQ127" s="174"/>
      <c r="AR127" s="174"/>
      <c r="AS127" s="174"/>
      <c r="AT127" s="174"/>
      <c r="AU127" s="174"/>
      <c r="AV127" s="174"/>
      <c r="AW127" s="174"/>
      <c r="AX127" s="174"/>
      <c r="AY127" s="174"/>
      <c r="AZ127" s="174"/>
      <c r="BA127" s="174"/>
      <c r="BB127" s="174"/>
      <c r="BC127" s="174"/>
      <c r="BD127" s="174"/>
      <c r="BE127" s="174"/>
      <c r="BF127" s="174"/>
      <c r="BG127" s="174"/>
      <c r="BH127" s="174"/>
      <c r="BI127" s="174"/>
      <c r="BJ127" s="174"/>
      <c r="BK127" s="174"/>
      <c r="BL127" s="174"/>
      <c r="BM127" s="176"/>
      <c r="CQ127" s="87"/>
      <c r="CR127" s="87"/>
      <c r="CS127" s="87"/>
      <c r="CT127" s="87"/>
      <c r="CU127" s="87"/>
      <c r="CV127" s="87"/>
      <c r="CW127" s="87"/>
    </row>
    <row r="128" spans="1:101" s="177" customFormat="1" outlineLevel="2">
      <c r="A128" s="174"/>
      <c r="B128" s="174"/>
      <c r="C128" s="174"/>
      <c r="D128" s="174"/>
      <c r="E128" s="174"/>
      <c r="F128" s="174"/>
      <c r="G128" s="174"/>
      <c r="H128" s="174"/>
      <c r="I128" s="174"/>
      <c r="J128" s="378" t="s">
        <v>153</v>
      </c>
      <c r="K128" s="379"/>
      <c r="L128" s="343" t="s">
        <v>21</v>
      </c>
      <c r="M128" s="343"/>
      <c r="N128" s="343"/>
      <c r="O128" s="343"/>
      <c r="P128" s="343"/>
      <c r="Q128" s="343"/>
      <c r="R128" s="343"/>
      <c r="S128" s="343"/>
      <c r="T128" s="343"/>
      <c r="U128" s="343"/>
      <c r="V128" s="343"/>
      <c r="W128" s="343"/>
      <c r="X128" s="343" t="s">
        <v>182</v>
      </c>
      <c r="Y128" s="343"/>
      <c r="Z128" s="343"/>
      <c r="AA128" s="343"/>
      <c r="AB128" s="343"/>
      <c r="AC128" s="343"/>
      <c r="AD128" s="343"/>
      <c r="AE128" s="343"/>
      <c r="AF128" s="343" t="s">
        <v>183</v>
      </c>
      <c r="AG128" s="343"/>
      <c r="AH128" s="343"/>
      <c r="AI128" s="343"/>
      <c r="AJ128" s="343"/>
      <c r="AK128" s="343"/>
      <c r="AL128" s="343"/>
      <c r="AM128" s="343"/>
      <c r="AN128" s="343" t="s">
        <v>60</v>
      </c>
      <c r="AO128" s="343"/>
      <c r="AP128" s="343"/>
      <c r="AQ128" s="343"/>
      <c r="AR128" s="343"/>
      <c r="AS128" s="343"/>
      <c r="AT128" s="343"/>
      <c r="AU128" s="343"/>
      <c r="AV128" s="343" t="s">
        <v>62</v>
      </c>
      <c r="AW128" s="343"/>
      <c r="AX128" s="343"/>
      <c r="AY128" s="343"/>
      <c r="AZ128" s="343"/>
      <c r="BA128" s="343"/>
      <c r="BB128" s="343"/>
      <c r="BC128" s="343"/>
      <c r="BD128" s="174"/>
      <c r="BE128" s="174"/>
      <c r="BF128" s="174"/>
      <c r="BG128" s="174"/>
      <c r="BH128" s="174"/>
      <c r="BI128" s="176"/>
      <c r="BJ128" s="176"/>
      <c r="BK128" s="176"/>
      <c r="BL128" s="176"/>
      <c r="BM128" s="176"/>
      <c r="CM128" s="87"/>
      <c r="CN128" s="87"/>
      <c r="CO128" s="87"/>
      <c r="CP128" s="87"/>
      <c r="CQ128" s="87"/>
      <c r="CR128" s="87"/>
      <c r="CS128" s="87"/>
    </row>
    <row r="129" spans="1:101" s="177" customFormat="1" outlineLevel="2">
      <c r="A129" s="174"/>
      <c r="B129" s="174"/>
      <c r="C129" s="174"/>
      <c r="D129" s="174"/>
      <c r="E129" s="174"/>
      <c r="F129" s="174"/>
      <c r="G129" s="174"/>
      <c r="H129" s="174"/>
      <c r="I129" s="174"/>
      <c r="J129" s="352">
        <v>1</v>
      </c>
      <c r="K129" s="353"/>
      <c r="L129" s="388" t="s">
        <v>228</v>
      </c>
      <c r="M129" s="388"/>
      <c r="N129" s="388"/>
      <c r="O129" s="388"/>
      <c r="P129" s="388"/>
      <c r="Q129" s="388"/>
      <c r="R129" s="388"/>
      <c r="S129" s="388"/>
      <c r="T129" s="388"/>
      <c r="U129" s="388"/>
      <c r="V129" s="388"/>
      <c r="W129" s="388"/>
      <c r="X129" s="407">
        <v>1500</v>
      </c>
      <c r="Y129" s="407"/>
      <c r="Z129" s="407"/>
      <c r="AA129" s="407"/>
      <c r="AB129" s="407"/>
      <c r="AC129" s="407"/>
      <c r="AD129" s="407"/>
      <c r="AE129" s="407"/>
      <c r="AF129" s="408">
        <v>10</v>
      </c>
      <c r="AG129" s="408"/>
      <c r="AH129" s="408"/>
      <c r="AI129" s="408"/>
      <c r="AJ129" s="408"/>
      <c r="AK129" s="408"/>
      <c r="AL129" s="408"/>
      <c r="AM129" s="408"/>
      <c r="AN129" s="408">
        <v>1</v>
      </c>
      <c r="AO129" s="408"/>
      <c r="AP129" s="408"/>
      <c r="AQ129" s="408"/>
      <c r="AR129" s="408"/>
      <c r="AS129" s="408"/>
      <c r="AT129" s="408"/>
      <c r="AU129" s="408"/>
      <c r="AV129" s="382">
        <f>X129*AF129*AN129</f>
        <v>15000</v>
      </c>
      <c r="AW129" s="382"/>
      <c r="AX129" s="382"/>
      <c r="AY129" s="382"/>
      <c r="AZ129" s="382"/>
      <c r="BA129" s="382"/>
      <c r="BB129" s="382"/>
      <c r="BC129" s="382"/>
      <c r="BD129" s="174"/>
      <c r="BE129" s="174"/>
      <c r="BF129" s="174"/>
      <c r="BG129" s="174"/>
      <c r="BH129" s="174"/>
      <c r="BI129" s="176"/>
      <c r="CM129" s="87"/>
      <c r="CN129" s="87"/>
      <c r="CO129" s="87"/>
      <c r="CP129" s="87"/>
      <c r="CQ129" s="87"/>
      <c r="CR129" s="87"/>
      <c r="CS129" s="87"/>
    </row>
    <row r="130" spans="1:101" s="177" customFormat="1" outlineLevel="2">
      <c r="A130" s="174"/>
      <c r="B130" s="174"/>
      <c r="C130" s="174"/>
      <c r="D130" s="174"/>
      <c r="E130" s="174"/>
      <c r="F130" s="174"/>
      <c r="G130" s="174"/>
      <c r="H130" s="174"/>
      <c r="I130" s="174"/>
      <c r="J130" s="352">
        <v>2</v>
      </c>
      <c r="K130" s="353"/>
      <c r="L130" s="388" t="s">
        <v>229</v>
      </c>
      <c r="M130" s="388"/>
      <c r="N130" s="388"/>
      <c r="O130" s="388"/>
      <c r="P130" s="388"/>
      <c r="Q130" s="388"/>
      <c r="R130" s="388"/>
      <c r="S130" s="388"/>
      <c r="T130" s="388"/>
      <c r="U130" s="388"/>
      <c r="V130" s="388"/>
      <c r="W130" s="388"/>
      <c r="X130" s="407">
        <v>500</v>
      </c>
      <c r="Y130" s="407"/>
      <c r="Z130" s="407"/>
      <c r="AA130" s="407"/>
      <c r="AB130" s="407"/>
      <c r="AC130" s="407"/>
      <c r="AD130" s="407"/>
      <c r="AE130" s="407"/>
      <c r="AF130" s="408">
        <v>10</v>
      </c>
      <c r="AG130" s="408"/>
      <c r="AH130" s="408"/>
      <c r="AI130" s="408"/>
      <c r="AJ130" s="408"/>
      <c r="AK130" s="408"/>
      <c r="AL130" s="408"/>
      <c r="AM130" s="408"/>
      <c r="AN130" s="408">
        <v>1</v>
      </c>
      <c r="AO130" s="408"/>
      <c r="AP130" s="408"/>
      <c r="AQ130" s="408"/>
      <c r="AR130" s="408"/>
      <c r="AS130" s="408"/>
      <c r="AT130" s="408"/>
      <c r="AU130" s="408"/>
      <c r="AV130" s="382">
        <f>X130*AF130*AN130</f>
        <v>5000</v>
      </c>
      <c r="AW130" s="382"/>
      <c r="AX130" s="382"/>
      <c r="AY130" s="382"/>
      <c r="AZ130" s="382"/>
      <c r="BA130" s="382"/>
      <c r="BB130" s="382"/>
      <c r="BC130" s="382"/>
      <c r="BD130" s="174"/>
      <c r="BE130" s="174"/>
      <c r="BF130" s="174"/>
      <c r="BG130" s="174"/>
      <c r="BH130" s="174"/>
      <c r="BI130" s="176"/>
      <c r="CM130" s="87"/>
      <c r="CN130" s="87"/>
      <c r="CO130" s="87"/>
      <c r="CP130" s="87"/>
      <c r="CQ130" s="87"/>
      <c r="CR130" s="87"/>
      <c r="CS130" s="87"/>
    </row>
    <row r="131" spans="1:101" s="177" customFormat="1" outlineLevel="2">
      <c r="A131" s="174"/>
      <c r="B131" s="174"/>
      <c r="C131" s="174"/>
      <c r="D131" s="174"/>
      <c r="E131" s="174"/>
      <c r="F131" s="174"/>
      <c r="G131" s="174"/>
      <c r="H131" s="174"/>
      <c r="I131" s="174"/>
      <c r="J131" s="352">
        <v>3</v>
      </c>
      <c r="K131" s="353"/>
      <c r="L131" s="388" t="s">
        <v>230</v>
      </c>
      <c r="M131" s="388"/>
      <c r="N131" s="388"/>
      <c r="O131" s="388"/>
      <c r="P131" s="388"/>
      <c r="Q131" s="388"/>
      <c r="R131" s="388"/>
      <c r="S131" s="388"/>
      <c r="T131" s="388"/>
      <c r="U131" s="388"/>
      <c r="V131" s="388"/>
      <c r="W131" s="388"/>
      <c r="X131" s="407">
        <v>10000</v>
      </c>
      <c r="Y131" s="407"/>
      <c r="Z131" s="407"/>
      <c r="AA131" s="407"/>
      <c r="AB131" s="407"/>
      <c r="AC131" s="407"/>
      <c r="AD131" s="407"/>
      <c r="AE131" s="407"/>
      <c r="AF131" s="408">
        <v>1</v>
      </c>
      <c r="AG131" s="408"/>
      <c r="AH131" s="408"/>
      <c r="AI131" s="408"/>
      <c r="AJ131" s="408"/>
      <c r="AK131" s="408"/>
      <c r="AL131" s="408"/>
      <c r="AM131" s="408"/>
      <c r="AN131" s="408">
        <v>1</v>
      </c>
      <c r="AO131" s="408"/>
      <c r="AP131" s="408"/>
      <c r="AQ131" s="408"/>
      <c r="AR131" s="408"/>
      <c r="AS131" s="408"/>
      <c r="AT131" s="408"/>
      <c r="AU131" s="408"/>
      <c r="AV131" s="382">
        <f>X131*AF131*AN131</f>
        <v>10000</v>
      </c>
      <c r="AW131" s="382"/>
      <c r="AX131" s="382"/>
      <c r="AY131" s="382"/>
      <c r="AZ131" s="382"/>
      <c r="BA131" s="382"/>
      <c r="BB131" s="382"/>
      <c r="BC131" s="382"/>
      <c r="BD131" s="174"/>
      <c r="BE131" s="174"/>
      <c r="BF131" s="174"/>
      <c r="BG131" s="174"/>
      <c r="BH131" s="174"/>
      <c r="BI131" s="176"/>
      <c r="CM131" s="87"/>
      <c r="CN131" s="87"/>
      <c r="CO131" s="87"/>
      <c r="CP131" s="87"/>
      <c r="CQ131" s="87"/>
      <c r="CR131" s="87"/>
      <c r="CS131" s="87"/>
    </row>
    <row r="132" spans="1:101" s="177" customFormat="1" outlineLevel="2">
      <c r="A132" s="174"/>
      <c r="B132" s="174"/>
      <c r="C132" s="174"/>
      <c r="D132" s="174"/>
      <c r="E132" s="174"/>
      <c r="F132" s="174"/>
      <c r="G132" s="174"/>
      <c r="H132" s="174"/>
      <c r="I132" s="174"/>
      <c r="J132" s="352">
        <v>4</v>
      </c>
      <c r="K132" s="353"/>
      <c r="L132" s="388" t="s">
        <v>231</v>
      </c>
      <c r="M132" s="388"/>
      <c r="N132" s="388"/>
      <c r="O132" s="388"/>
      <c r="P132" s="388"/>
      <c r="Q132" s="388"/>
      <c r="R132" s="388"/>
      <c r="S132" s="388"/>
      <c r="T132" s="388"/>
      <c r="U132" s="388"/>
      <c r="V132" s="388"/>
      <c r="W132" s="388"/>
      <c r="X132" s="407">
        <v>5000</v>
      </c>
      <c r="Y132" s="407"/>
      <c r="Z132" s="407"/>
      <c r="AA132" s="407"/>
      <c r="AB132" s="407"/>
      <c r="AC132" s="407"/>
      <c r="AD132" s="407"/>
      <c r="AE132" s="407"/>
      <c r="AF132" s="408">
        <v>1</v>
      </c>
      <c r="AG132" s="408"/>
      <c r="AH132" s="408"/>
      <c r="AI132" s="408"/>
      <c r="AJ132" s="408"/>
      <c r="AK132" s="408"/>
      <c r="AL132" s="408"/>
      <c r="AM132" s="408"/>
      <c r="AN132" s="408">
        <v>2</v>
      </c>
      <c r="AO132" s="408"/>
      <c r="AP132" s="408"/>
      <c r="AQ132" s="408"/>
      <c r="AR132" s="408"/>
      <c r="AS132" s="408"/>
      <c r="AT132" s="408"/>
      <c r="AU132" s="408"/>
      <c r="AV132" s="382">
        <f>X132*AF132*AN132</f>
        <v>10000</v>
      </c>
      <c r="AW132" s="382"/>
      <c r="AX132" s="382"/>
      <c r="AY132" s="382"/>
      <c r="AZ132" s="382"/>
      <c r="BA132" s="382"/>
      <c r="BB132" s="382"/>
      <c r="BC132" s="382"/>
      <c r="BD132" s="174"/>
      <c r="BE132" s="174"/>
      <c r="BF132" s="174"/>
      <c r="BG132" s="174"/>
      <c r="BH132" s="174"/>
      <c r="BI132" s="176"/>
      <c r="CM132" s="87"/>
      <c r="CN132" s="87"/>
      <c r="CO132" s="87"/>
      <c r="CP132" s="87"/>
      <c r="CQ132" s="87"/>
      <c r="CR132" s="87"/>
      <c r="CS132" s="87"/>
    </row>
    <row r="133" spans="1:101" s="177" customFormat="1" ht="6.95" customHeight="1" outlineLevel="1">
      <c r="A133" s="174"/>
      <c r="B133" s="174"/>
      <c r="C133" s="174"/>
      <c r="D133" s="174"/>
      <c r="E133" s="174"/>
      <c r="F133" s="174"/>
      <c r="G133" s="174"/>
      <c r="H133" s="174"/>
      <c r="I133" s="174"/>
      <c r="J133" s="174"/>
      <c r="K133" s="174"/>
      <c r="L133" s="174"/>
      <c r="M133" s="174"/>
      <c r="N133" s="174"/>
      <c r="O133" s="174"/>
      <c r="P133" s="174"/>
      <c r="Q133" s="174"/>
      <c r="R133" s="174"/>
      <c r="S133" s="174"/>
      <c r="T133" s="174"/>
      <c r="U133" s="174"/>
      <c r="V133" s="174"/>
      <c r="W133" s="174"/>
      <c r="X133" s="174"/>
      <c r="Y133" s="174"/>
      <c r="Z133" s="174"/>
      <c r="AA133" s="174"/>
      <c r="AB133" s="174"/>
      <c r="AC133" s="174"/>
      <c r="AD133" s="174"/>
      <c r="AE133" s="174"/>
      <c r="AF133" s="174"/>
      <c r="AG133" s="174"/>
      <c r="AH133" s="174"/>
      <c r="AI133" s="174"/>
      <c r="AJ133" s="174"/>
      <c r="AK133" s="174"/>
      <c r="AL133" s="174"/>
      <c r="AM133" s="174"/>
      <c r="AN133" s="174"/>
      <c r="AO133" s="174"/>
      <c r="AP133" s="174"/>
      <c r="AQ133" s="174"/>
      <c r="AR133" s="174"/>
      <c r="AS133" s="174"/>
      <c r="AT133" s="174"/>
      <c r="AU133" s="174"/>
      <c r="AV133" s="174"/>
      <c r="AW133" s="174"/>
      <c r="AX133" s="174"/>
      <c r="AY133" s="174"/>
      <c r="AZ133" s="174"/>
      <c r="BA133" s="174"/>
      <c r="BB133" s="174"/>
      <c r="BC133" s="174"/>
      <c r="BD133" s="174"/>
      <c r="BE133" s="174"/>
      <c r="BF133" s="174"/>
      <c r="BG133" s="174"/>
      <c r="BH133" s="174"/>
      <c r="BI133" s="174"/>
      <c r="BJ133" s="174"/>
      <c r="BK133" s="174"/>
      <c r="BL133" s="174"/>
      <c r="BM133" s="176"/>
      <c r="CQ133" s="87"/>
      <c r="CR133" s="87"/>
      <c r="CS133" s="87"/>
      <c r="CT133" s="87"/>
      <c r="CU133" s="87"/>
      <c r="CV133" s="87"/>
      <c r="CW133" s="87"/>
    </row>
    <row r="134" spans="1:101" s="177" customFormat="1" outlineLevel="1">
      <c r="A134" s="174"/>
      <c r="B134" s="174"/>
      <c r="C134" s="174"/>
      <c r="D134" s="174"/>
      <c r="E134" s="174"/>
      <c r="F134" s="174"/>
      <c r="G134" s="174"/>
      <c r="H134" s="174"/>
      <c r="I134" s="174"/>
      <c r="J134" s="174"/>
      <c r="K134" s="174"/>
      <c r="L134" s="174"/>
      <c r="M134" s="174"/>
      <c r="N134" s="174"/>
      <c r="O134" s="174"/>
      <c r="P134" s="174"/>
      <c r="Q134" s="174"/>
      <c r="R134" s="174"/>
      <c r="S134" s="174"/>
      <c r="T134" s="174"/>
      <c r="U134" s="174"/>
      <c r="V134" s="174"/>
      <c r="W134" s="174"/>
      <c r="X134" s="174"/>
      <c r="Y134" s="174"/>
      <c r="Z134" s="174"/>
      <c r="AA134" s="174"/>
      <c r="AB134" s="383" t="s">
        <v>178</v>
      </c>
      <c r="AC134" s="383"/>
      <c r="AD134" s="383"/>
      <c r="AE134" s="383" t="str">
        <f>B126</f>
        <v>1.7. Seguridad e Higiene en Obra</v>
      </c>
      <c r="AF134" s="383"/>
      <c r="AG134" s="383"/>
      <c r="AH134" s="383"/>
      <c r="AI134" s="383"/>
      <c r="AJ134" s="383"/>
      <c r="AK134" s="383"/>
      <c r="AL134" s="383"/>
      <c r="AM134" s="383"/>
      <c r="AN134" s="383"/>
      <c r="AO134" s="383"/>
      <c r="AP134" s="383"/>
      <c r="AQ134" s="383"/>
      <c r="AR134" s="383"/>
      <c r="AS134" s="383"/>
      <c r="AT134" s="383"/>
      <c r="AU134" s="383"/>
      <c r="AV134" s="412">
        <f>SUM(AV129:BC132)</f>
        <v>40000</v>
      </c>
      <c r="AW134" s="412"/>
      <c r="AX134" s="412"/>
      <c r="AY134" s="412"/>
      <c r="AZ134" s="412"/>
      <c r="BA134" s="412"/>
      <c r="BB134" s="412"/>
      <c r="BC134" s="412"/>
      <c r="BD134" s="387">
        <f>AV134/$AW$215</f>
        <v>4.4265796910593815E-3</v>
      </c>
      <c r="BE134" s="387"/>
      <c r="BF134" s="387"/>
      <c r="BG134" s="387"/>
      <c r="BH134" s="387"/>
      <c r="BI134" s="387" t="s">
        <v>179</v>
      </c>
      <c r="BJ134" s="387"/>
      <c r="BK134" s="387"/>
      <c r="BL134" s="174"/>
      <c r="BM134" s="176"/>
      <c r="CQ134" s="87"/>
      <c r="CR134" s="87"/>
      <c r="CS134" s="87"/>
      <c r="CT134" s="87"/>
      <c r="CU134" s="87"/>
      <c r="CV134" s="87"/>
      <c r="CW134" s="87"/>
    </row>
    <row r="135" spans="1:101" s="177" customFormat="1" ht="6.95" customHeight="1" outlineLevel="1">
      <c r="A135" s="174"/>
      <c r="B135" s="174"/>
      <c r="C135" s="174"/>
      <c r="D135" s="174"/>
      <c r="E135" s="174"/>
      <c r="F135" s="174"/>
      <c r="G135" s="174"/>
      <c r="H135" s="174"/>
      <c r="I135" s="174"/>
      <c r="J135" s="174"/>
      <c r="K135" s="174"/>
      <c r="L135" s="174"/>
      <c r="M135" s="174"/>
      <c r="N135" s="174"/>
      <c r="O135" s="174"/>
      <c r="P135" s="174"/>
      <c r="Q135" s="174"/>
      <c r="R135" s="174"/>
      <c r="S135" s="174"/>
      <c r="T135" s="174"/>
      <c r="U135" s="174"/>
      <c r="V135" s="174"/>
      <c r="W135" s="174"/>
      <c r="X135" s="174"/>
      <c r="Y135" s="174"/>
      <c r="Z135" s="174"/>
      <c r="AA135" s="174"/>
      <c r="AB135" s="174"/>
      <c r="AC135" s="174"/>
      <c r="AD135" s="174"/>
      <c r="AE135" s="174"/>
      <c r="AF135" s="174"/>
      <c r="AG135" s="174"/>
      <c r="AH135" s="174"/>
      <c r="AI135" s="174"/>
      <c r="AJ135" s="174"/>
      <c r="AK135" s="174"/>
      <c r="AL135" s="174"/>
      <c r="AM135" s="174"/>
      <c r="AN135" s="174"/>
      <c r="AO135" s="174"/>
      <c r="AP135" s="174"/>
      <c r="AQ135" s="174"/>
      <c r="AR135" s="174"/>
      <c r="AS135" s="174"/>
      <c r="AT135" s="174"/>
      <c r="AU135" s="174"/>
      <c r="AV135" s="174"/>
      <c r="AW135" s="174"/>
      <c r="AX135" s="174"/>
      <c r="AY135" s="174"/>
      <c r="AZ135" s="174"/>
      <c r="BA135" s="174"/>
      <c r="BB135" s="174"/>
      <c r="BC135" s="174"/>
      <c r="BD135" s="174"/>
      <c r="BE135" s="174"/>
      <c r="BF135" s="174"/>
      <c r="BG135" s="174"/>
      <c r="BH135" s="174"/>
      <c r="BI135" s="174"/>
      <c r="BJ135" s="174"/>
      <c r="BK135" s="174"/>
      <c r="BL135" s="174"/>
      <c r="BM135" s="176"/>
      <c r="CQ135" s="87"/>
      <c r="CR135" s="87"/>
      <c r="CS135" s="87"/>
      <c r="CT135" s="87"/>
      <c r="CU135" s="87"/>
      <c r="CV135" s="87"/>
      <c r="CW135" s="87"/>
    </row>
    <row r="136" spans="1:101" s="176" customFormat="1" outlineLevel="1">
      <c r="A136" s="174"/>
      <c r="B136" s="185" t="s">
        <v>232</v>
      </c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4"/>
      <c r="AI136" s="174"/>
      <c r="AJ136" s="174"/>
      <c r="AK136" s="174"/>
      <c r="AL136" s="174"/>
      <c r="AM136" s="174"/>
      <c r="AN136" s="174"/>
      <c r="AO136" s="174"/>
      <c r="AP136" s="174"/>
      <c r="AQ136" s="174"/>
      <c r="AR136" s="174"/>
      <c r="AS136" s="174"/>
      <c r="AT136" s="174"/>
      <c r="AU136" s="174"/>
      <c r="AV136" s="174"/>
      <c r="AW136" s="174"/>
      <c r="AX136" s="174"/>
      <c r="AY136" s="174"/>
      <c r="AZ136" s="174"/>
      <c r="BA136" s="174"/>
      <c r="BB136" s="174"/>
      <c r="BC136" s="174"/>
      <c r="BD136" s="174"/>
      <c r="BE136" s="174"/>
      <c r="BF136" s="174"/>
      <c r="BG136" s="174"/>
      <c r="BH136" s="174"/>
      <c r="BI136" s="174"/>
      <c r="BJ136" s="174"/>
      <c r="BK136" s="174"/>
      <c r="BL136" s="174"/>
      <c r="BN136" s="177"/>
      <c r="BO136" s="177"/>
      <c r="BP136" s="177"/>
      <c r="BQ136" s="177"/>
      <c r="BR136" s="177"/>
      <c r="BS136" s="177"/>
      <c r="BT136" s="177"/>
      <c r="BU136" s="177"/>
      <c r="BV136" s="177"/>
      <c r="BW136" s="177"/>
      <c r="BX136" s="177"/>
      <c r="BY136" s="177"/>
      <c r="BZ136" s="177"/>
      <c r="CA136" s="177"/>
      <c r="CB136" s="177"/>
      <c r="CC136" s="177"/>
      <c r="CD136" s="177"/>
      <c r="CE136" s="177"/>
      <c r="CF136" s="177"/>
      <c r="CG136" s="177"/>
      <c r="CH136" s="177"/>
      <c r="CI136" s="177"/>
      <c r="CJ136" s="177"/>
      <c r="CK136" s="177"/>
      <c r="CL136" s="177"/>
      <c r="CM136" s="177"/>
      <c r="CN136" s="177"/>
      <c r="CO136" s="177"/>
      <c r="CP136" s="177"/>
      <c r="CQ136" s="87"/>
      <c r="CR136" s="87"/>
      <c r="CS136" s="87"/>
      <c r="CT136" s="87"/>
      <c r="CU136" s="87"/>
      <c r="CV136" s="87"/>
      <c r="CW136" s="87"/>
    </row>
    <row r="137" spans="1:101" s="176" customFormat="1" ht="6.95" customHeight="1" outlineLevel="2">
      <c r="A137" s="174"/>
      <c r="B137" s="174"/>
      <c r="C137" s="174"/>
      <c r="D137" s="174"/>
      <c r="E137" s="174"/>
      <c r="F137" s="174"/>
      <c r="G137" s="174"/>
      <c r="H137" s="174"/>
      <c r="I137" s="174"/>
      <c r="J137" s="174"/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V137" s="174"/>
      <c r="W137" s="174"/>
      <c r="X137" s="174"/>
      <c r="Y137" s="174"/>
      <c r="Z137" s="174"/>
      <c r="AA137" s="174"/>
      <c r="AB137" s="174"/>
      <c r="AC137" s="174"/>
      <c r="AD137" s="174"/>
      <c r="AE137" s="174"/>
      <c r="AF137" s="174"/>
      <c r="AG137" s="174"/>
      <c r="AH137" s="174"/>
      <c r="AI137" s="174"/>
      <c r="AJ137" s="174"/>
      <c r="AK137" s="174"/>
      <c r="AL137" s="174"/>
      <c r="AM137" s="174"/>
      <c r="AN137" s="174"/>
      <c r="AO137" s="174"/>
      <c r="AP137" s="174"/>
      <c r="AQ137" s="174"/>
      <c r="AR137" s="174"/>
      <c r="AS137" s="174"/>
      <c r="AT137" s="174"/>
      <c r="AU137" s="174"/>
      <c r="AV137" s="174"/>
      <c r="AW137" s="174"/>
      <c r="AX137" s="174"/>
      <c r="AY137" s="174"/>
      <c r="AZ137" s="174"/>
      <c r="BA137" s="174"/>
      <c r="BB137" s="174"/>
      <c r="BC137" s="174"/>
      <c r="BD137" s="174"/>
      <c r="BE137" s="174"/>
      <c r="BF137" s="174"/>
      <c r="BG137" s="174"/>
      <c r="BH137" s="174"/>
      <c r="BI137" s="174"/>
      <c r="BJ137" s="174"/>
      <c r="BK137" s="174"/>
      <c r="BL137" s="174"/>
      <c r="BN137" s="177"/>
      <c r="BO137" s="177"/>
      <c r="BP137" s="177"/>
      <c r="BQ137" s="177"/>
      <c r="BR137" s="177"/>
      <c r="BS137" s="177"/>
      <c r="BT137" s="177"/>
      <c r="BU137" s="177"/>
      <c r="BV137" s="177"/>
      <c r="BW137" s="177"/>
      <c r="BX137" s="177"/>
      <c r="BY137" s="177"/>
      <c r="BZ137" s="177"/>
      <c r="CA137" s="177"/>
      <c r="CB137" s="177"/>
      <c r="CC137" s="177"/>
      <c r="CD137" s="177"/>
      <c r="CE137" s="177"/>
      <c r="CF137" s="177"/>
      <c r="CG137" s="177"/>
      <c r="CH137" s="177"/>
      <c r="CI137" s="177"/>
      <c r="CJ137" s="177"/>
      <c r="CK137" s="177"/>
      <c r="CL137" s="177"/>
      <c r="CM137" s="177"/>
      <c r="CN137" s="177"/>
      <c r="CO137" s="177"/>
      <c r="CP137" s="177"/>
      <c r="CQ137" s="87"/>
      <c r="CR137" s="87"/>
      <c r="CS137" s="87"/>
      <c r="CT137" s="87"/>
      <c r="CU137" s="87"/>
      <c r="CV137" s="87"/>
      <c r="CW137" s="87"/>
    </row>
    <row r="138" spans="1:101" s="176" customFormat="1" outlineLevel="2">
      <c r="A138" s="174"/>
      <c r="B138" s="174"/>
      <c r="C138" s="174"/>
      <c r="D138" s="174"/>
      <c r="E138" s="174"/>
      <c r="F138" s="174"/>
      <c r="G138" s="174"/>
      <c r="H138" s="174"/>
      <c r="I138" s="174"/>
      <c r="J138" s="378" t="s">
        <v>153</v>
      </c>
      <c r="K138" s="379"/>
      <c r="L138" s="343" t="s">
        <v>21</v>
      </c>
      <c r="M138" s="343"/>
      <c r="N138" s="343"/>
      <c r="O138" s="343"/>
      <c r="P138" s="343"/>
      <c r="Q138" s="343"/>
      <c r="R138" s="343"/>
      <c r="S138" s="343"/>
      <c r="T138" s="343"/>
      <c r="U138" s="343"/>
      <c r="V138" s="343"/>
      <c r="W138" s="343"/>
      <c r="X138" s="343" t="s">
        <v>182</v>
      </c>
      <c r="Y138" s="343"/>
      <c r="Z138" s="343"/>
      <c r="AA138" s="343"/>
      <c r="AB138" s="343"/>
      <c r="AC138" s="343"/>
      <c r="AD138" s="343"/>
      <c r="AE138" s="343"/>
      <c r="AF138" s="343" t="s">
        <v>60</v>
      </c>
      <c r="AG138" s="343"/>
      <c r="AH138" s="343"/>
      <c r="AI138" s="343"/>
      <c r="AJ138" s="343"/>
      <c r="AK138" s="343"/>
      <c r="AL138" s="343"/>
      <c r="AM138" s="343"/>
      <c r="AN138" s="343" t="s">
        <v>191</v>
      </c>
      <c r="AO138" s="343"/>
      <c r="AP138" s="343"/>
      <c r="AQ138" s="343"/>
      <c r="AR138" s="343"/>
      <c r="AS138" s="343"/>
      <c r="AT138" s="343"/>
      <c r="AU138" s="343"/>
      <c r="AV138" s="343" t="s">
        <v>62</v>
      </c>
      <c r="AW138" s="343"/>
      <c r="AX138" s="343"/>
      <c r="AY138" s="343"/>
      <c r="AZ138" s="343"/>
      <c r="BA138" s="343"/>
      <c r="BB138" s="343"/>
      <c r="BC138" s="343"/>
      <c r="BD138" s="174"/>
      <c r="BE138" s="174"/>
      <c r="BF138" s="174"/>
      <c r="BG138" s="174"/>
      <c r="BH138" s="174"/>
      <c r="BI138" s="174"/>
      <c r="BJ138" s="174"/>
      <c r="BK138" s="174"/>
      <c r="BL138" s="174"/>
      <c r="BN138" s="177"/>
      <c r="BO138" s="177"/>
      <c r="BP138" s="177"/>
      <c r="BQ138" s="177"/>
      <c r="BR138" s="177"/>
      <c r="BS138" s="177"/>
      <c r="BT138" s="177"/>
      <c r="BU138" s="177"/>
      <c r="BV138" s="177"/>
      <c r="BW138" s="177"/>
      <c r="BX138" s="177"/>
      <c r="BY138" s="177"/>
      <c r="BZ138" s="177"/>
      <c r="CA138" s="177"/>
      <c r="CB138" s="177"/>
      <c r="CC138" s="177"/>
      <c r="CD138" s="177"/>
      <c r="CE138" s="177"/>
      <c r="CF138" s="177"/>
      <c r="CG138" s="177"/>
      <c r="CH138" s="177"/>
      <c r="CI138" s="177"/>
      <c r="CJ138" s="177"/>
      <c r="CK138" s="177"/>
      <c r="CL138" s="177"/>
      <c r="CM138" s="177"/>
      <c r="CN138" s="177"/>
      <c r="CO138" s="177"/>
      <c r="CP138" s="177"/>
      <c r="CQ138" s="87"/>
      <c r="CR138" s="87"/>
      <c r="CS138" s="87"/>
      <c r="CT138" s="87"/>
      <c r="CU138" s="87"/>
      <c r="CV138" s="87"/>
      <c r="CW138" s="87"/>
    </row>
    <row r="139" spans="1:101" s="176" customFormat="1" outlineLevel="2">
      <c r="A139" s="174"/>
      <c r="B139" s="174"/>
      <c r="C139" s="174"/>
      <c r="D139" s="174"/>
      <c r="E139" s="174"/>
      <c r="F139" s="174"/>
      <c r="G139" s="174"/>
      <c r="H139" s="174"/>
      <c r="I139" s="174"/>
      <c r="J139" s="352">
        <v>1</v>
      </c>
      <c r="K139" s="353"/>
      <c r="L139" s="388" t="s">
        <v>233</v>
      </c>
      <c r="M139" s="388"/>
      <c r="N139" s="388"/>
      <c r="O139" s="388"/>
      <c r="P139" s="388"/>
      <c r="Q139" s="388"/>
      <c r="R139" s="388"/>
      <c r="S139" s="388"/>
      <c r="T139" s="388"/>
      <c r="U139" s="388"/>
      <c r="V139" s="388"/>
      <c r="W139" s="388"/>
      <c r="X139" s="407">
        <v>0</v>
      </c>
      <c r="Y139" s="407"/>
      <c r="Z139" s="407"/>
      <c r="AA139" s="407"/>
      <c r="AB139" s="407"/>
      <c r="AC139" s="407"/>
      <c r="AD139" s="407"/>
      <c r="AE139" s="407"/>
      <c r="AF139" s="408">
        <v>0</v>
      </c>
      <c r="AG139" s="408"/>
      <c r="AH139" s="408"/>
      <c r="AI139" s="408"/>
      <c r="AJ139" s="408"/>
      <c r="AK139" s="408"/>
      <c r="AL139" s="408"/>
      <c r="AM139" s="408"/>
      <c r="AN139" s="407">
        <v>0</v>
      </c>
      <c r="AO139" s="407"/>
      <c r="AP139" s="407"/>
      <c r="AQ139" s="407"/>
      <c r="AR139" s="407"/>
      <c r="AS139" s="407"/>
      <c r="AT139" s="407"/>
      <c r="AU139" s="407"/>
      <c r="AV139" s="382">
        <f>((X139*AF139)+AN139)</f>
        <v>0</v>
      </c>
      <c r="AW139" s="382"/>
      <c r="AX139" s="382"/>
      <c r="AY139" s="382"/>
      <c r="AZ139" s="382"/>
      <c r="BA139" s="382"/>
      <c r="BB139" s="382"/>
      <c r="BC139" s="382"/>
      <c r="BD139" s="174"/>
      <c r="BE139" s="174"/>
      <c r="BF139" s="174"/>
      <c r="BG139" s="174"/>
      <c r="BH139" s="174"/>
      <c r="BI139" s="174"/>
      <c r="BJ139" s="174"/>
      <c r="BK139" s="174"/>
      <c r="BL139" s="174"/>
      <c r="BN139" s="177"/>
      <c r="BO139" s="177"/>
      <c r="BP139" s="177"/>
      <c r="BQ139" s="177"/>
      <c r="BR139" s="177"/>
      <c r="BS139" s="177"/>
      <c r="BT139" s="177"/>
      <c r="BU139" s="177"/>
      <c r="BV139" s="177"/>
      <c r="BW139" s="177"/>
      <c r="BX139" s="177"/>
      <c r="BY139" s="177"/>
      <c r="BZ139" s="177"/>
      <c r="CA139" s="177"/>
      <c r="CB139" s="177"/>
      <c r="CC139" s="177"/>
      <c r="CD139" s="177"/>
      <c r="CE139" s="177"/>
      <c r="CF139" s="177"/>
      <c r="CG139" s="177"/>
      <c r="CH139" s="177"/>
      <c r="CI139" s="177"/>
      <c r="CJ139" s="177"/>
      <c r="CK139" s="177"/>
      <c r="CL139" s="177"/>
      <c r="CM139" s="177"/>
      <c r="CN139" s="177"/>
      <c r="CO139" s="177"/>
      <c r="CP139" s="177"/>
      <c r="CQ139" s="87"/>
      <c r="CR139" s="87"/>
      <c r="CS139" s="87"/>
      <c r="CT139" s="87"/>
      <c r="CU139" s="87"/>
      <c r="CV139" s="87"/>
      <c r="CW139" s="87"/>
    </row>
    <row r="140" spans="1:101" s="176" customFormat="1" outlineLevel="2">
      <c r="A140" s="174"/>
      <c r="B140" s="174"/>
      <c r="C140" s="174"/>
      <c r="D140" s="174"/>
      <c r="E140" s="174"/>
      <c r="F140" s="174"/>
      <c r="G140" s="174"/>
      <c r="H140" s="174"/>
      <c r="I140" s="174"/>
      <c r="J140" s="352">
        <v>2</v>
      </c>
      <c r="K140" s="353"/>
      <c r="L140" s="388" t="s">
        <v>234</v>
      </c>
      <c r="M140" s="388"/>
      <c r="N140" s="388"/>
      <c r="O140" s="388"/>
      <c r="P140" s="388"/>
      <c r="Q140" s="388"/>
      <c r="R140" s="388"/>
      <c r="S140" s="388"/>
      <c r="T140" s="388"/>
      <c r="U140" s="388"/>
      <c r="V140" s="388"/>
      <c r="W140" s="388"/>
      <c r="X140" s="407">
        <v>0</v>
      </c>
      <c r="Y140" s="407"/>
      <c r="Z140" s="407"/>
      <c r="AA140" s="407"/>
      <c r="AB140" s="407"/>
      <c r="AC140" s="407"/>
      <c r="AD140" s="407"/>
      <c r="AE140" s="407"/>
      <c r="AF140" s="408">
        <v>0</v>
      </c>
      <c r="AG140" s="408"/>
      <c r="AH140" s="408"/>
      <c r="AI140" s="408"/>
      <c r="AJ140" s="408"/>
      <c r="AK140" s="408"/>
      <c r="AL140" s="408"/>
      <c r="AM140" s="408"/>
      <c r="AN140" s="407">
        <v>0</v>
      </c>
      <c r="AO140" s="407"/>
      <c r="AP140" s="407"/>
      <c r="AQ140" s="407"/>
      <c r="AR140" s="407"/>
      <c r="AS140" s="407"/>
      <c r="AT140" s="407"/>
      <c r="AU140" s="407"/>
      <c r="AV140" s="382">
        <f t="shared" ref="AV140:AV146" si="8">((X140*AF140)+AN140)</f>
        <v>0</v>
      </c>
      <c r="AW140" s="382"/>
      <c r="AX140" s="382"/>
      <c r="AY140" s="382"/>
      <c r="AZ140" s="382"/>
      <c r="BA140" s="382"/>
      <c r="BB140" s="382"/>
      <c r="BC140" s="382"/>
      <c r="BD140" s="174"/>
      <c r="BE140" s="174"/>
      <c r="BF140" s="174"/>
      <c r="BG140" s="174"/>
      <c r="BH140" s="174"/>
      <c r="BI140" s="174"/>
      <c r="BJ140" s="174"/>
      <c r="BK140" s="174"/>
      <c r="BL140" s="174"/>
      <c r="BN140" s="177"/>
      <c r="BO140" s="177"/>
      <c r="BP140" s="177"/>
      <c r="BQ140" s="177"/>
      <c r="BR140" s="177"/>
      <c r="BS140" s="177"/>
      <c r="BT140" s="177"/>
      <c r="BU140" s="177"/>
      <c r="BV140" s="177"/>
      <c r="BW140" s="177"/>
      <c r="BX140" s="177"/>
      <c r="BY140" s="177"/>
      <c r="BZ140" s="177"/>
      <c r="CA140" s="177"/>
      <c r="CB140" s="177"/>
      <c r="CC140" s="177"/>
      <c r="CD140" s="177"/>
      <c r="CE140" s="177"/>
      <c r="CF140" s="177"/>
      <c r="CG140" s="177"/>
      <c r="CH140" s="177"/>
      <c r="CI140" s="177"/>
      <c r="CJ140" s="177"/>
      <c r="CK140" s="177"/>
      <c r="CL140" s="177"/>
      <c r="CM140" s="177"/>
      <c r="CN140" s="177"/>
      <c r="CO140" s="177"/>
      <c r="CP140" s="177"/>
      <c r="CQ140" s="87"/>
      <c r="CR140" s="87"/>
      <c r="CS140" s="87"/>
      <c r="CT140" s="87"/>
      <c r="CU140" s="87"/>
      <c r="CV140" s="87"/>
      <c r="CW140" s="87"/>
    </row>
    <row r="141" spans="1:101" s="176" customFormat="1" outlineLevel="2">
      <c r="A141" s="174"/>
      <c r="B141" s="174"/>
      <c r="C141" s="174"/>
      <c r="D141" s="174"/>
      <c r="E141" s="174"/>
      <c r="F141" s="174"/>
      <c r="G141" s="174"/>
      <c r="H141" s="174"/>
      <c r="I141" s="174"/>
      <c r="J141" s="352">
        <v>3</v>
      </c>
      <c r="K141" s="353"/>
      <c r="L141" s="388" t="s">
        <v>235</v>
      </c>
      <c r="M141" s="388"/>
      <c r="N141" s="388"/>
      <c r="O141" s="388"/>
      <c r="P141" s="388"/>
      <c r="Q141" s="388"/>
      <c r="R141" s="388"/>
      <c r="S141" s="388"/>
      <c r="T141" s="388"/>
      <c r="U141" s="388"/>
      <c r="V141" s="388"/>
      <c r="W141" s="388"/>
      <c r="X141" s="407">
        <v>10000</v>
      </c>
      <c r="Y141" s="407"/>
      <c r="Z141" s="407"/>
      <c r="AA141" s="407"/>
      <c r="AB141" s="407"/>
      <c r="AC141" s="407"/>
      <c r="AD141" s="407"/>
      <c r="AE141" s="407"/>
      <c r="AF141" s="408">
        <v>1</v>
      </c>
      <c r="AG141" s="408"/>
      <c r="AH141" s="408"/>
      <c r="AI141" s="408"/>
      <c r="AJ141" s="408"/>
      <c r="AK141" s="408"/>
      <c r="AL141" s="408"/>
      <c r="AM141" s="408"/>
      <c r="AN141" s="407">
        <v>0</v>
      </c>
      <c r="AO141" s="407"/>
      <c r="AP141" s="407"/>
      <c r="AQ141" s="407"/>
      <c r="AR141" s="407"/>
      <c r="AS141" s="407"/>
      <c r="AT141" s="407"/>
      <c r="AU141" s="407"/>
      <c r="AV141" s="382">
        <f t="shared" si="8"/>
        <v>10000</v>
      </c>
      <c r="AW141" s="382"/>
      <c r="AX141" s="382"/>
      <c r="AY141" s="382"/>
      <c r="AZ141" s="382"/>
      <c r="BA141" s="382"/>
      <c r="BB141" s="382"/>
      <c r="BC141" s="382"/>
      <c r="BD141" s="174"/>
      <c r="BE141" s="174"/>
      <c r="BF141" s="174"/>
      <c r="BG141" s="174"/>
      <c r="BH141" s="174"/>
      <c r="BI141" s="174"/>
      <c r="BJ141" s="174"/>
      <c r="BK141" s="174"/>
      <c r="BL141" s="174"/>
      <c r="BN141" s="177"/>
      <c r="BO141" s="177"/>
      <c r="BP141" s="177"/>
      <c r="BQ141" s="177"/>
      <c r="BR141" s="177"/>
      <c r="BS141" s="177"/>
      <c r="BT141" s="177"/>
      <c r="BU141" s="177"/>
      <c r="BV141" s="177"/>
      <c r="BW141" s="177"/>
      <c r="BX141" s="177"/>
      <c r="BY141" s="177"/>
      <c r="BZ141" s="177"/>
      <c r="CA141" s="177"/>
      <c r="CB141" s="177"/>
      <c r="CC141" s="177"/>
      <c r="CD141" s="177"/>
      <c r="CE141" s="177"/>
      <c r="CF141" s="177"/>
      <c r="CG141" s="177"/>
      <c r="CH141" s="177"/>
      <c r="CI141" s="177"/>
      <c r="CJ141" s="177"/>
      <c r="CK141" s="177"/>
      <c r="CL141" s="177"/>
      <c r="CM141" s="177"/>
      <c r="CN141" s="177"/>
      <c r="CO141" s="177"/>
      <c r="CP141" s="177"/>
      <c r="CQ141" s="87"/>
      <c r="CR141" s="87"/>
      <c r="CS141" s="87"/>
      <c r="CT141" s="87"/>
      <c r="CU141" s="87"/>
      <c r="CV141" s="87"/>
      <c r="CW141" s="87"/>
    </row>
    <row r="142" spans="1:101" s="176" customFormat="1" outlineLevel="2">
      <c r="A142" s="174"/>
      <c r="B142" s="174"/>
      <c r="C142" s="174"/>
      <c r="D142" s="174"/>
      <c r="E142" s="174"/>
      <c r="F142" s="174"/>
      <c r="G142" s="174"/>
      <c r="H142" s="174"/>
      <c r="I142" s="174"/>
      <c r="J142" s="352">
        <v>4</v>
      </c>
      <c r="K142" s="353"/>
      <c r="L142" s="388" t="s">
        <v>236</v>
      </c>
      <c r="M142" s="388"/>
      <c r="N142" s="388"/>
      <c r="O142" s="388"/>
      <c r="P142" s="388"/>
      <c r="Q142" s="388"/>
      <c r="R142" s="388"/>
      <c r="S142" s="388"/>
      <c r="T142" s="388"/>
      <c r="U142" s="388"/>
      <c r="V142" s="388"/>
      <c r="W142" s="388"/>
      <c r="X142" s="407">
        <v>0</v>
      </c>
      <c r="Y142" s="407"/>
      <c r="Z142" s="407"/>
      <c r="AA142" s="407"/>
      <c r="AB142" s="407"/>
      <c r="AC142" s="407"/>
      <c r="AD142" s="407"/>
      <c r="AE142" s="407"/>
      <c r="AF142" s="408">
        <v>0</v>
      </c>
      <c r="AG142" s="408"/>
      <c r="AH142" s="408"/>
      <c r="AI142" s="408"/>
      <c r="AJ142" s="408"/>
      <c r="AK142" s="408"/>
      <c r="AL142" s="408"/>
      <c r="AM142" s="408"/>
      <c r="AN142" s="407">
        <v>0</v>
      </c>
      <c r="AO142" s="407"/>
      <c r="AP142" s="407"/>
      <c r="AQ142" s="407"/>
      <c r="AR142" s="407"/>
      <c r="AS142" s="407"/>
      <c r="AT142" s="407"/>
      <c r="AU142" s="407"/>
      <c r="AV142" s="382">
        <f t="shared" si="8"/>
        <v>0</v>
      </c>
      <c r="AW142" s="382"/>
      <c r="AX142" s="382"/>
      <c r="AY142" s="382"/>
      <c r="AZ142" s="382"/>
      <c r="BA142" s="382"/>
      <c r="BB142" s="382"/>
      <c r="BC142" s="382"/>
      <c r="BD142" s="174"/>
      <c r="BE142" s="174"/>
      <c r="BF142" s="174"/>
      <c r="BG142" s="174"/>
      <c r="BH142" s="174"/>
      <c r="BI142" s="174"/>
      <c r="BJ142" s="174"/>
      <c r="BK142" s="174"/>
      <c r="BL142" s="174"/>
      <c r="BN142" s="177"/>
      <c r="BO142" s="177"/>
      <c r="BP142" s="177"/>
      <c r="BQ142" s="177"/>
      <c r="BR142" s="177"/>
      <c r="BS142" s="177"/>
      <c r="BT142" s="177"/>
      <c r="BU142" s="177"/>
      <c r="BV142" s="177"/>
      <c r="BW142" s="177"/>
      <c r="BX142" s="177"/>
      <c r="BY142" s="177"/>
      <c r="BZ142" s="177"/>
      <c r="CA142" s="177"/>
      <c r="CB142" s="177"/>
      <c r="CC142" s="177"/>
      <c r="CD142" s="177"/>
      <c r="CE142" s="177"/>
      <c r="CF142" s="177"/>
      <c r="CG142" s="177"/>
      <c r="CH142" s="177"/>
      <c r="CI142" s="177"/>
      <c r="CJ142" s="177"/>
      <c r="CK142" s="177"/>
      <c r="CL142" s="177"/>
      <c r="CM142" s="177"/>
      <c r="CN142" s="177"/>
      <c r="CO142" s="177"/>
      <c r="CP142" s="177"/>
      <c r="CQ142" s="87"/>
      <c r="CR142" s="87"/>
      <c r="CS142" s="87"/>
      <c r="CT142" s="87"/>
      <c r="CU142" s="87"/>
      <c r="CV142" s="87"/>
      <c r="CW142" s="87"/>
    </row>
    <row r="143" spans="1:101" s="176" customFormat="1" outlineLevel="2">
      <c r="A143" s="174"/>
      <c r="B143" s="174"/>
      <c r="C143" s="174"/>
      <c r="D143" s="174"/>
      <c r="E143" s="174"/>
      <c r="F143" s="174"/>
      <c r="G143" s="174"/>
      <c r="H143" s="174"/>
      <c r="I143" s="174"/>
      <c r="J143" s="352">
        <v>5</v>
      </c>
      <c r="K143" s="353"/>
      <c r="L143" s="388" t="s">
        <v>237</v>
      </c>
      <c r="M143" s="388"/>
      <c r="N143" s="388"/>
      <c r="O143" s="388"/>
      <c r="P143" s="388"/>
      <c r="Q143" s="388"/>
      <c r="R143" s="388"/>
      <c r="S143" s="388"/>
      <c r="T143" s="388"/>
      <c r="U143" s="388"/>
      <c r="V143" s="388"/>
      <c r="W143" s="388"/>
      <c r="X143" s="407">
        <v>10000</v>
      </c>
      <c r="Y143" s="407"/>
      <c r="Z143" s="407"/>
      <c r="AA143" s="407"/>
      <c r="AB143" s="407"/>
      <c r="AC143" s="407"/>
      <c r="AD143" s="407"/>
      <c r="AE143" s="407"/>
      <c r="AF143" s="408">
        <v>1</v>
      </c>
      <c r="AG143" s="408"/>
      <c r="AH143" s="408"/>
      <c r="AI143" s="408"/>
      <c r="AJ143" s="408"/>
      <c r="AK143" s="408"/>
      <c r="AL143" s="408"/>
      <c r="AM143" s="408"/>
      <c r="AN143" s="407">
        <v>0</v>
      </c>
      <c r="AO143" s="407"/>
      <c r="AP143" s="407"/>
      <c r="AQ143" s="407"/>
      <c r="AR143" s="407"/>
      <c r="AS143" s="407"/>
      <c r="AT143" s="407"/>
      <c r="AU143" s="407"/>
      <c r="AV143" s="382">
        <f t="shared" si="8"/>
        <v>10000</v>
      </c>
      <c r="AW143" s="382"/>
      <c r="AX143" s="382"/>
      <c r="AY143" s="382"/>
      <c r="AZ143" s="382"/>
      <c r="BA143" s="382"/>
      <c r="BB143" s="382"/>
      <c r="BC143" s="382"/>
      <c r="BD143" s="174"/>
      <c r="BE143" s="174"/>
      <c r="BF143" s="174"/>
      <c r="BG143" s="174"/>
      <c r="BH143" s="174"/>
      <c r="BI143" s="174"/>
      <c r="BJ143" s="174"/>
      <c r="BK143" s="174"/>
      <c r="BL143" s="174"/>
      <c r="BN143" s="177"/>
      <c r="BO143" s="177"/>
      <c r="BP143" s="177"/>
      <c r="BQ143" s="177"/>
      <c r="BR143" s="177"/>
      <c r="BS143" s="177"/>
      <c r="BT143" s="177"/>
      <c r="BU143" s="177"/>
      <c r="BV143" s="177"/>
      <c r="BW143" s="177"/>
      <c r="BX143" s="177"/>
      <c r="BY143" s="177"/>
      <c r="BZ143" s="177"/>
      <c r="CA143" s="177"/>
      <c r="CB143" s="177"/>
      <c r="CC143" s="177"/>
      <c r="CD143" s="177"/>
      <c r="CE143" s="177"/>
      <c r="CF143" s="177"/>
      <c r="CG143" s="177"/>
      <c r="CH143" s="177"/>
      <c r="CI143" s="177"/>
      <c r="CJ143" s="177"/>
      <c r="CK143" s="177"/>
      <c r="CL143" s="177"/>
      <c r="CM143" s="177"/>
      <c r="CN143" s="177"/>
      <c r="CO143" s="177"/>
      <c r="CP143" s="177"/>
      <c r="CQ143" s="87"/>
      <c r="CR143" s="87"/>
      <c r="CS143" s="87"/>
      <c r="CT143" s="87"/>
      <c r="CU143" s="87"/>
      <c r="CV143" s="87"/>
      <c r="CW143" s="87"/>
    </row>
    <row r="144" spans="1:101" s="176" customFormat="1" outlineLevel="2">
      <c r="A144" s="174"/>
      <c r="B144" s="174"/>
      <c r="C144" s="174"/>
      <c r="D144" s="174"/>
      <c r="E144" s="174"/>
      <c r="F144" s="174"/>
      <c r="G144" s="174"/>
      <c r="H144" s="174"/>
      <c r="I144" s="174"/>
      <c r="J144" s="352">
        <v>6</v>
      </c>
      <c r="K144" s="353"/>
      <c r="L144" s="388" t="s">
        <v>238</v>
      </c>
      <c r="M144" s="388"/>
      <c r="N144" s="388"/>
      <c r="O144" s="388"/>
      <c r="P144" s="388"/>
      <c r="Q144" s="388"/>
      <c r="R144" s="388"/>
      <c r="S144" s="388"/>
      <c r="T144" s="388"/>
      <c r="U144" s="388"/>
      <c r="V144" s="388"/>
      <c r="W144" s="388"/>
      <c r="X144" s="407">
        <v>0</v>
      </c>
      <c r="Y144" s="407"/>
      <c r="Z144" s="407"/>
      <c r="AA144" s="407"/>
      <c r="AB144" s="407"/>
      <c r="AC144" s="407"/>
      <c r="AD144" s="407"/>
      <c r="AE144" s="407"/>
      <c r="AF144" s="408">
        <v>0</v>
      </c>
      <c r="AG144" s="408"/>
      <c r="AH144" s="408"/>
      <c r="AI144" s="408"/>
      <c r="AJ144" s="408"/>
      <c r="AK144" s="408"/>
      <c r="AL144" s="408"/>
      <c r="AM144" s="408"/>
      <c r="AN144" s="407">
        <v>0</v>
      </c>
      <c r="AO144" s="407"/>
      <c r="AP144" s="407"/>
      <c r="AQ144" s="407"/>
      <c r="AR144" s="407"/>
      <c r="AS144" s="407"/>
      <c r="AT144" s="407"/>
      <c r="AU144" s="407"/>
      <c r="AV144" s="382">
        <f t="shared" si="8"/>
        <v>0</v>
      </c>
      <c r="AW144" s="382"/>
      <c r="AX144" s="382"/>
      <c r="AY144" s="382"/>
      <c r="AZ144" s="382"/>
      <c r="BA144" s="382"/>
      <c r="BB144" s="382"/>
      <c r="BC144" s="382"/>
      <c r="BD144" s="174"/>
      <c r="BE144" s="174"/>
      <c r="BF144" s="174"/>
      <c r="BG144" s="174"/>
      <c r="BH144" s="174"/>
      <c r="BI144" s="174"/>
      <c r="BJ144" s="174"/>
      <c r="BK144" s="174"/>
      <c r="BL144" s="174"/>
      <c r="BN144" s="177"/>
      <c r="BO144" s="177"/>
      <c r="BP144" s="177"/>
      <c r="BQ144" s="177"/>
      <c r="BR144" s="177"/>
      <c r="BS144" s="177"/>
      <c r="BT144" s="177"/>
      <c r="BU144" s="177"/>
      <c r="BV144" s="177"/>
      <c r="BW144" s="177"/>
      <c r="BX144" s="177"/>
      <c r="BY144" s="177"/>
      <c r="BZ144" s="177"/>
      <c r="CA144" s="177"/>
      <c r="CB144" s="177"/>
      <c r="CC144" s="177"/>
      <c r="CD144" s="177"/>
      <c r="CE144" s="177"/>
      <c r="CF144" s="177"/>
      <c r="CG144" s="177"/>
      <c r="CH144" s="177"/>
      <c r="CI144" s="177"/>
      <c r="CJ144" s="177"/>
      <c r="CK144" s="177"/>
      <c r="CL144" s="177"/>
      <c r="CM144" s="177"/>
      <c r="CN144" s="177"/>
      <c r="CO144" s="177"/>
      <c r="CP144" s="177"/>
      <c r="CQ144" s="87"/>
      <c r="CR144" s="87"/>
      <c r="CS144" s="87"/>
      <c r="CT144" s="87"/>
      <c r="CU144" s="87"/>
      <c r="CV144" s="87"/>
      <c r="CW144" s="87"/>
    </row>
    <row r="145" spans="1:101" s="176" customFormat="1" outlineLevel="2">
      <c r="A145" s="174"/>
      <c r="B145" s="174"/>
      <c r="C145" s="174"/>
      <c r="D145" s="174"/>
      <c r="E145" s="174"/>
      <c r="F145" s="174"/>
      <c r="G145" s="174"/>
      <c r="H145" s="174"/>
      <c r="I145" s="174"/>
      <c r="J145" s="352">
        <v>7</v>
      </c>
      <c r="K145" s="353"/>
      <c r="L145" s="388" t="s">
        <v>239</v>
      </c>
      <c r="M145" s="388"/>
      <c r="N145" s="388"/>
      <c r="O145" s="388"/>
      <c r="P145" s="388"/>
      <c r="Q145" s="388"/>
      <c r="R145" s="388"/>
      <c r="S145" s="388"/>
      <c r="T145" s="388"/>
      <c r="U145" s="388"/>
      <c r="V145" s="388"/>
      <c r="W145" s="388"/>
      <c r="X145" s="407">
        <v>0</v>
      </c>
      <c r="Y145" s="407"/>
      <c r="Z145" s="407"/>
      <c r="AA145" s="407"/>
      <c r="AB145" s="407"/>
      <c r="AC145" s="407"/>
      <c r="AD145" s="407"/>
      <c r="AE145" s="407"/>
      <c r="AF145" s="408">
        <v>0</v>
      </c>
      <c r="AG145" s="408"/>
      <c r="AH145" s="408"/>
      <c r="AI145" s="408"/>
      <c r="AJ145" s="408"/>
      <c r="AK145" s="408"/>
      <c r="AL145" s="408"/>
      <c r="AM145" s="408"/>
      <c r="AN145" s="407">
        <v>0</v>
      </c>
      <c r="AO145" s="407"/>
      <c r="AP145" s="407"/>
      <c r="AQ145" s="407"/>
      <c r="AR145" s="407"/>
      <c r="AS145" s="407"/>
      <c r="AT145" s="407"/>
      <c r="AU145" s="407"/>
      <c r="AV145" s="382">
        <f t="shared" si="8"/>
        <v>0</v>
      </c>
      <c r="AW145" s="382"/>
      <c r="AX145" s="382"/>
      <c r="AY145" s="382"/>
      <c r="AZ145" s="382"/>
      <c r="BA145" s="382"/>
      <c r="BB145" s="382"/>
      <c r="BC145" s="382"/>
      <c r="BD145" s="174"/>
      <c r="BE145" s="174"/>
      <c r="BF145" s="174"/>
      <c r="BG145" s="174"/>
      <c r="BH145" s="174"/>
      <c r="BI145" s="174"/>
      <c r="BJ145" s="174"/>
      <c r="BK145" s="174"/>
      <c r="BL145" s="174"/>
      <c r="BN145" s="177"/>
      <c r="BO145" s="177"/>
      <c r="BP145" s="177"/>
      <c r="BQ145" s="177"/>
      <c r="BR145" s="177"/>
      <c r="BS145" s="177"/>
      <c r="BT145" s="177"/>
      <c r="BU145" s="177"/>
      <c r="BV145" s="177"/>
      <c r="BW145" s="177"/>
      <c r="BX145" s="177"/>
      <c r="BY145" s="177"/>
      <c r="BZ145" s="177"/>
      <c r="CA145" s="177"/>
      <c r="CB145" s="177"/>
      <c r="CC145" s="177"/>
      <c r="CD145" s="177"/>
      <c r="CE145" s="177"/>
      <c r="CF145" s="177"/>
      <c r="CG145" s="177"/>
      <c r="CH145" s="177"/>
      <c r="CI145" s="177"/>
      <c r="CJ145" s="177"/>
      <c r="CK145" s="177"/>
      <c r="CL145" s="177"/>
      <c r="CM145" s="177"/>
      <c r="CN145" s="177"/>
      <c r="CO145" s="177"/>
      <c r="CP145" s="177"/>
      <c r="CQ145" s="87"/>
      <c r="CR145" s="87"/>
      <c r="CS145" s="87"/>
      <c r="CT145" s="87"/>
      <c r="CU145" s="87"/>
      <c r="CV145" s="87"/>
      <c r="CW145" s="87"/>
    </row>
    <row r="146" spans="1:101" s="176" customFormat="1" outlineLevel="2">
      <c r="A146" s="174"/>
      <c r="B146" s="174"/>
      <c r="C146" s="174"/>
      <c r="D146" s="174"/>
      <c r="E146" s="174"/>
      <c r="F146" s="174"/>
      <c r="G146" s="174"/>
      <c r="H146" s="174"/>
      <c r="I146" s="174"/>
      <c r="J146" s="352">
        <v>8</v>
      </c>
      <c r="K146" s="353"/>
      <c r="L146" s="404" t="s">
        <v>240</v>
      </c>
      <c r="M146" s="405"/>
      <c r="N146" s="405"/>
      <c r="O146" s="405"/>
      <c r="P146" s="405"/>
      <c r="Q146" s="405"/>
      <c r="R146" s="405"/>
      <c r="S146" s="405"/>
      <c r="T146" s="405"/>
      <c r="U146" s="405"/>
      <c r="V146" s="405"/>
      <c r="W146" s="406"/>
      <c r="X146" s="407">
        <v>10000</v>
      </c>
      <c r="Y146" s="407"/>
      <c r="Z146" s="407"/>
      <c r="AA146" s="407"/>
      <c r="AB146" s="407"/>
      <c r="AC146" s="407"/>
      <c r="AD146" s="407"/>
      <c r="AE146" s="407"/>
      <c r="AF146" s="408">
        <v>1</v>
      </c>
      <c r="AG146" s="408"/>
      <c r="AH146" s="408"/>
      <c r="AI146" s="408"/>
      <c r="AJ146" s="408"/>
      <c r="AK146" s="408"/>
      <c r="AL146" s="408"/>
      <c r="AM146" s="408"/>
      <c r="AN146" s="407">
        <v>0</v>
      </c>
      <c r="AO146" s="407"/>
      <c r="AP146" s="407"/>
      <c r="AQ146" s="407"/>
      <c r="AR146" s="407"/>
      <c r="AS146" s="407"/>
      <c r="AT146" s="407"/>
      <c r="AU146" s="407"/>
      <c r="AV146" s="409">
        <f t="shared" si="8"/>
        <v>10000</v>
      </c>
      <c r="AW146" s="410"/>
      <c r="AX146" s="410"/>
      <c r="AY146" s="410"/>
      <c r="AZ146" s="410"/>
      <c r="BA146" s="410"/>
      <c r="BB146" s="410"/>
      <c r="BC146" s="411"/>
      <c r="BD146" s="174"/>
      <c r="BE146" s="174"/>
      <c r="BF146" s="174"/>
      <c r="BG146" s="174"/>
      <c r="BH146" s="174"/>
      <c r="BI146" s="174"/>
      <c r="BJ146" s="174"/>
      <c r="BK146" s="174"/>
      <c r="BL146" s="174"/>
      <c r="BN146" s="177"/>
      <c r="BO146" s="177"/>
      <c r="BP146" s="177"/>
      <c r="BQ146" s="177"/>
      <c r="BR146" s="177"/>
      <c r="BS146" s="177"/>
      <c r="BT146" s="177"/>
      <c r="BU146" s="177"/>
      <c r="BV146" s="177"/>
      <c r="BW146" s="177"/>
      <c r="BX146" s="177"/>
      <c r="BY146" s="177"/>
      <c r="BZ146" s="177"/>
      <c r="CA146" s="177"/>
      <c r="CB146" s="177"/>
      <c r="CC146" s="177"/>
      <c r="CD146" s="177"/>
      <c r="CE146" s="177"/>
      <c r="CF146" s="177"/>
      <c r="CG146" s="177"/>
      <c r="CH146" s="177"/>
      <c r="CI146" s="177"/>
      <c r="CJ146" s="177"/>
      <c r="CK146" s="177"/>
      <c r="CL146" s="177"/>
      <c r="CM146" s="177"/>
      <c r="CN146" s="177"/>
      <c r="CO146" s="177"/>
      <c r="CP146" s="177"/>
      <c r="CQ146" s="87"/>
      <c r="CR146" s="87"/>
      <c r="CS146" s="87"/>
      <c r="CT146" s="87"/>
      <c r="CU146" s="87"/>
      <c r="CV146" s="87"/>
      <c r="CW146" s="87"/>
    </row>
    <row r="147" spans="1:101" s="176" customFormat="1" ht="6.95" customHeight="1" outlineLevel="1">
      <c r="A147" s="174"/>
      <c r="B147" s="174"/>
      <c r="C147" s="174"/>
      <c r="D147" s="174"/>
      <c r="E147" s="174"/>
      <c r="F147" s="174"/>
      <c r="G147" s="174"/>
      <c r="H147" s="174"/>
      <c r="I147" s="174"/>
      <c r="J147" s="174"/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V147" s="174"/>
      <c r="W147" s="174"/>
      <c r="X147" s="174"/>
      <c r="Y147" s="174"/>
      <c r="Z147" s="174"/>
      <c r="AA147" s="174"/>
      <c r="AB147" s="174"/>
      <c r="AC147" s="174"/>
      <c r="AD147" s="174"/>
      <c r="AE147" s="174"/>
      <c r="AF147" s="174"/>
      <c r="AG147" s="174"/>
      <c r="AH147" s="174"/>
      <c r="AI147" s="174"/>
      <c r="AJ147" s="174"/>
      <c r="AK147" s="174"/>
      <c r="AL147" s="174"/>
      <c r="AM147" s="174"/>
      <c r="AN147" s="174"/>
      <c r="AO147" s="174"/>
      <c r="AP147" s="174"/>
      <c r="AQ147" s="174"/>
      <c r="AR147" s="174"/>
      <c r="AS147" s="174"/>
      <c r="AT147" s="174"/>
      <c r="AU147" s="174"/>
      <c r="AV147" s="174"/>
      <c r="AW147" s="174"/>
      <c r="AX147" s="174"/>
      <c r="AY147" s="174"/>
      <c r="AZ147" s="174"/>
      <c r="BA147" s="174"/>
      <c r="BB147" s="174"/>
      <c r="BC147" s="174"/>
      <c r="BD147" s="174"/>
      <c r="BE147" s="174"/>
      <c r="BF147" s="174"/>
      <c r="BG147" s="174"/>
      <c r="BH147" s="174"/>
      <c r="BI147" s="174"/>
      <c r="BJ147" s="174"/>
      <c r="BK147" s="174"/>
      <c r="BL147" s="174"/>
      <c r="BN147" s="177"/>
      <c r="BO147" s="177"/>
      <c r="BP147" s="177"/>
      <c r="BQ147" s="177"/>
      <c r="BR147" s="177"/>
      <c r="BS147" s="177"/>
      <c r="BT147" s="177"/>
      <c r="BU147" s="177"/>
      <c r="BV147" s="177"/>
      <c r="BW147" s="177"/>
      <c r="BX147" s="177"/>
      <c r="BY147" s="177"/>
      <c r="BZ147" s="177"/>
      <c r="CA147" s="177"/>
      <c r="CB147" s="177"/>
      <c r="CC147" s="177"/>
      <c r="CD147" s="177"/>
      <c r="CE147" s="177"/>
      <c r="CF147" s="177"/>
      <c r="CG147" s="177"/>
      <c r="CH147" s="177"/>
      <c r="CI147" s="177"/>
      <c r="CJ147" s="177"/>
      <c r="CK147" s="177"/>
      <c r="CL147" s="177"/>
      <c r="CM147" s="177"/>
      <c r="CN147" s="177"/>
      <c r="CO147" s="177"/>
      <c r="CP147" s="177"/>
      <c r="CQ147" s="87"/>
      <c r="CR147" s="87"/>
      <c r="CS147" s="87"/>
      <c r="CT147" s="87"/>
      <c r="CU147" s="87"/>
      <c r="CV147" s="87"/>
      <c r="CW147" s="87"/>
    </row>
    <row r="148" spans="1:101" s="176" customFormat="1" outlineLevel="1">
      <c r="A148" s="174"/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4"/>
      <c r="P148" s="174"/>
      <c r="Q148" s="174"/>
      <c r="R148" s="174"/>
      <c r="S148" s="174"/>
      <c r="T148" s="174"/>
      <c r="U148" s="174"/>
      <c r="V148" s="174"/>
      <c r="W148" s="174"/>
      <c r="X148" s="174"/>
      <c r="Y148" s="174"/>
      <c r="Z148" s="174"/>
      <c r="AA148" s="174"/>
      <c r="AB148" s="383" t="s">
        <v>178</v>
      </c>
      <c r="AC148" s="383"/>
      <c r="AD148" s="383"/>
      <c r="AE148" s="383" t="str">
        <f>B136</f>
        <v>1.8. Trabajos Previos y Auxiliares</v>
      </c>
      <c r="AF148" s="383"/>
      <c r="AG148" s="383"/>
      <c r="AH148" s="383"/>
      <c r="AI148" s="383"/>
      <c r="AJ148" s="383"/>
      <c r="AK148" s="383"/>
      <c r="AL148" s="383"/>
      <c r="AM148" s="383"/>
      <c r="AN148" s="383"/>
      <c r="AO148" s="383"/>
      <c r="AP148" s="383"/>
      <c r="AQ148" s="383"/>
      <c r="AR148" s="383"/>
      <c r="AS148" s="383"/>
      <c r="AT148" s="383"/>
      <c r="AU148" s="383"/>
      <c r="AV148" s="402">
        <f>SUM(AV139:BC146)</f>
        <v>30000</v>
      </c>
      <c r="AW148" s="402"/>
      <c r="AX148" s="402"/>
      <c r="AY148" s="402"/>
      <c r="AZ148" s="402"/>
      <c r="BA148" s="402"/>
      <c r="BB148" s="402"/>
      <c r="BC148" s="402"/>
      <c r="BD148" s="387">
        <f>AV148/$AW$215</f>
        <v>3.3199347682945361E-3</v>
      </c>
      <c r="BE148" s="387"/>
      <c r="BF148" s="387"/>
      <c r="BG148" s="387"/>
      <c r="BH148" s="387"/>
      <c r="BI148" s="387" t="s">
        <v>179</v>
      </c>
      <c r="BJ148" s="387"/>
      <c r="BK148" s="387"/>
      <c r="BL148" s="174"/>
      <c r="BN148" s="177"/>
      <c r="BO148" s="177"/>
      <c r="BP148" s="177"/>
      <c r="BQ148" s="177"/>
      <c r="BR148" s="177"/>
      <c r="BS148" s="177"/>
      <c r="BT148" s="177"/>
      <c r="BU148" s="177"/>
      <c r="BV148" s="177"/>
      <c r="BW148" s="177"/>
      <c r="BX148" s="177"/>
      <c r="BY148" s="177"/>
      <c r="BZ148" s="177"/>
      <c r="CA148" s="177"/>
      <c r="CB148" s="177"/>
      <c r="CC148" s="177"/>
      <c r="CD148" s="177"/>
      <c r="CE148" s="177"/>
      <c r="CF148" s="177"/>
      <c r="CG148" s="177"/>
      <c r="CH148" s="177"/>
      <c r="CI148" s="177"/>
      <c r="CJ148" s="177"/>
      <c r="CK148" s="177"/>
      <c r="CL148" s="177"/>
      <c r="CM148" s="177"/>
      <c r="CN148" s="177"/>
      <c r="CO148" s="177"/>
      <c r="CP148" s="177"/>
      <c r="CQ148" s="87"/>
      <c r="CR148" s="87"/>
      <c r="CS148" s="87"/>
      <c r="CT148" s="87"/>
      <c r="CU148" s="87"/>
      <c r="CV148" s="87"/>
      <c r="CW148" s="87"/>
    </row>
    <row r="149" spans="1:101" s="176" customFormat="1" ht="6.95" customHeight="1">
      <c r="A149" s="174"/>
      <c r="B149" s="174"/>
      <c r="C149" s="174"/>
      <c r="D149" s="174"/>
      <c r="E149" s="174"/>
      <c r="F149" s="174"/>
      <c r="G149" s="174"/>
      <c r="H149" s="174"/>
      <c r="I149" s="174"/>
      <c r="J149" s="174"/>
      <c r="K149" s="174"/>
      <c r="L149" s="174"/>
      <c r="M149" s="174"/>
      <c r="N149" s="174"/>
      <c r="O149" s="174"/>
      <c r="P149" s="174"/>
      <c r="Q149" s="174"/>
      <c r="R149" s="174"/>
      <c r="S149" s="174"/>
      <c r="T149" s="174"/>
      <c r="U149" s="174"/>
      <c r="V149" s="174"/>
      <c r="W149" s="174"/>
      <c r="X149" s="174"/>
      <c r="Y149" s="174"/>
      <c r="Z149" s="174"/>
      <c r="AA149" s="174"/>
      <c r="AB149" s="174"/>
      <c r="AC149" s="174"/>
      <c r="AD149" s="174"/>
      <c r="AE149" s="174"/>
      <c r="AF149" s="174"/>
      <c r="AG149" s="174"/>
      <c r="AH149" s="174"/>
      <c r="AI149" s="174"/>
      <c r="AJ149" s="174"/>
      <c r="AK149" s="174"/>
      <c r="AL149" s="174"/>
      <c r="AM149" s="174"/>
      <c r="AN149" s="174"/>
      <c r="AO149" s="174"/>
      <c r="AP149" s="174"/>
      <c r="AQ149" s="174"/>
      <c r="AR149" s="174"/>
      <c r="AS149" s="174"/>
      <c r="AT149" s="174"/>
      <c r="AU149" s="174"/>
      <c r="AV149" s="174"/>
      <c r="AW149" s="174"/>
      <c r="AX149" s="174"/>
      <c r="AY149" s="174"/>
      <c r="AZ149" s="174"/>
      <c r="BA149" s="174"/>
      <c r="BB149" s="174"/>
      <c r="BC149" s="174"/>
      <c r="BD149" s="174"/>
      <c r="BE149" s="174"/>
      <c r="BF149" s="174"/>
      <c r="BG149" s="174"/>
      <c r="BH149" s="174"/>
      <c r="BI149" s="174"/>
      <c r="BJ149" s="174"/>
      <c r="BK149" s="174"/>
      <c r="BL149" s="174"/>
      <c r="BN149" s="177"/>
      <c r="BO149" s="177"/>
      <c r="BP149" s="177"/>
      <c r="BQ149" s="177"/>
      <c r="BR149" s="177"/>
      <c r="BS149" s="177"/>
      <c r="BT149" s="177"/>
      <c r="BU149" s="177"/>
      <c r="BV149" s="177"/>
      <c r="BW149" s="177"/>
      <c r="BX149" s="177"/>
      <c r="BY149" s="177"/>
      <c r="BZ149" s="177"/>
      <c r="CA149" s="177"/>
      <c r="CB149" s="177"/>
      <c r="CC149" s="177"/>
      <c r="CD149" s="177"/>
      <c r="CE149" s="177"/>
      <c r="CF149" s="177"/>
      <c r="CG149" s="177"/>
      <c r="CH149" s="177"/>
      <c r="CI149" s="177"/>
      <c r="CJ149" s="177"/>
      <c r="CK149" s="177"/>
      <c r="CL149" s="177"/>
      <c r="CM149" s="177"/>
      <c r="CN149" s="177"/>
      <c r="CO149" s="177"/>
      <c r="CP149" s="177"/>
      <c r="CQ149" s="87"/>
      <c r="CR149" s="87"/>
      <c r="CS149" s="87"/>
      <c r="CT149" s="87"/>
      <c r="CU149" s="87"/>
      <c r="CV149" s="87"/>
      <c r="CW149" s="87"/>
    </row>
    <row r="150" spans="1:101" s="177" customFormat="1">
      <c r="A150" s="174"/>
      <c r="B150" s="174"/>
      <c r="C150" s="174"/>
      <c r="D150" s="174"/>
      <c r="E150" s="174"/>
      <c r="F150" s="174"/>
      <c r="G150" s="174"/>
      <c r="H150" s="174"/>
      <c r="I150" s="174"/>
      <c r="J150" s="174"/>
      <c r="K150" s="174"/>
      <c r="L150" s="174"/>
      <c r="M150" s="174"/>
      <c r="N150" s="174"/>
      <c r="O150" s="174"/>
      <c r="P150" s="174"/>
      <c r="Q150" s="174"/>
      <c r="R150" s="174"/>
      <c r="S150" s="174"/>
      <c r="T150" s="174"/>
      <c r="U150" s="174"/>
      <c r="V150" s="174"/>
      <c r="W150" s="174"/>
      <c r="X150" s="174"/>
      <c r="Y150" s="174"/>
      <c r="Z150" s="174"/>
      <c r="AA150" s="174"/>
      <c r="AB150" s="383" t="s">
        <v>178</v>
      </c>
      <c r="AC150" s="383"/>
      <c r="AD150" s="383"/>
      <c r="AE150" s="384" t="str">
        <f>B15</f>
        <v>1. Análisis, Cálculo e Integración de Costo Indirecto</v>
      </c>
      <c r="AF150" s="384"/>
      <c r="AG150" s="384"/>
      <c r="AH150" s="384"/>
      <c r="AI150" s="384"/>
      <c r="AJ150" s="384"/>
      <c r="AK150" s="384"/>
      <c r="AL150" s="384"/>
      <c r="AM150" s="384"/>
      <c r="AN150" s="384"/>
      <c r="AO150" s="384"/>
      <c r="AP150" s="384"/>
      <c r="AQ150" s="384"/>
      <c r="AR150" s="384"/>
      <c r="AS150" s="384"/>
      <c r="AT150" s="384"/>
      <c r="AU150" s="384"/>
      <c r="AV150" s="403">
        <f>AV58+AV78+AV89+AV103+AV114+AV124+AV134+AV148</f>
        <v>730750</v>
      </c>
      <c r="AW150" s="403"/>
      <c r="AX150" s="403"/>
      <c r="AY150" s="403"/>
      <c r="AZ150" s="403"/>
      <c r="BA150" s="403"/>
      <c r="BB150" s="403"/>
      <c r="BC150" s="403"/>
      <c r="BD150" s="386">
        <f>AV150/$AW$215</f>
        <v>8.0868077731041071E-2</v>
      </c>
      <c r="BE150" s="386"/>
      <c r="BF150" s="386"/>
      <c r="BG150" s="386"/>
      <c r="BH150" s="386"/>
      <c r="BI150" s="387" t="s">
        <v>179</v>
      </c>
      <c r="BJ150" s="387"/>
      <c r="BK150" s="387"/>
      <c r="BL150" s="174"/>
      <c r="BM150" s="176"/>
      <c r="CQ150" s="87"/>
      <c r="CR150" s="87"/>
      <c r="CS150" s="87"/>
      <c r="CT150" s="87"/>
      <c r="CU150" s="87"/>
      <c r="CV150" s="87"/>
      <c r="CW150" s="87"/>
    </row>
    <row r="151" spans="1:101" s="177" customFormat="1" ht="6.95" customHeight="1">
      <c r="A151" s="174"/>
      <c r="B151" s="174"/>
      <c r="C151" s="174"/>
      <c r="D151" s="174"/>
      <c r="E151" s="174"/>
      <c r="F151" s="174"/>
      <c r="G151" s="174"/>
      <c r="H151" s="174"/>
      <c r="I151" s="174"/>
      <c r="J151" s="174"/>
      <c r="K151" s="174"/>
      <c r="L151" s="174"/>
      <c r="M151" s="174"/>
      <c r="N151" s="174"/>
      <c r="O151" s="174"/>
      <c r="P151" s="174"/>
      <c r="Q151" s="174"/>
      <c r="R151" s="174"/>
      <c r="S151" s="174"/>
      <c r="T151" s="174"/>
      <c r="U151" s="174"/>
      <c r="V151" s="174"/>
      <c r="W151" s="174"/>
      <c r="X151" s="174"/>
      <c r="Y151" s="174"/>
      <c r="Z151" s="174"/>
      <c r="AA151" s="174"/>
      <c r="AB151" s="174"/>
      <c r="AC151" s="174"/>
      <c r="AD151" s="174"/>
      <c r="AE151" s="174"/>
      <c r="AF151" s="174"/>
      <c r="AG151" s="174"/>
      <c r="AH151" s="174"/>
      <c r="AI151" s="174"/>
      <c r="AJ151" s="174"/>
      <c r="AK151" s="174"/>
      <c r="AL151" s="174"/>
      <c r="AM151" s="174"/>
      <c r="AN151" s="174"/>
      <c r="AO151" s="174"/>
      <c r="AP151" s="174"/>
      <c r="AQ151" s="174"/>
      <c r="AR151" s="174"/>
      <c r="AS151" s="174"/>
      <c r="AT151" s="174"/>
      <c r="AU151" s="174"/>
      <c r="AV151" s="174"/>
      <c r="AW151" s="174"/>
      <c r="AX151" s="174"/>
      <c r="AY151" s="174"/>
      <c r="AZ151" s="174"/>
      <c r="BA151" s="174"/>
      <c r="BB151" s="174"/>
      <c r="BC151" s="174"/>
      <c r="BD151" s="174"/>
      <c r="BE151" s="174"/>
      <c r="BF151" s="174"/>
      <c r="BG151" s="174"/>
      <c r="BH151" s="174"/>
      <c r="BI151" s="174"/>
      <c r="BJ151" s="174"/>
      <c r="BK151" s="174"/>
      <c r="BL151" s="174"/>
      <c r="BM151" s="176"/>
      <c r="CQ151" s="87"/>
      <c r="CR151" s="87"/>
      <c r="CS151" s="87"/>
      <c r="CT151" s="87"/>
      <c r="CU151" s="87"/>
      <c r="CV151" s="87"/>
      <c r="CW151" s="87"/>
    </row>
    <row r="152" spans="1:101" s="177" customFormat="1">
      <c r="A152" s="174"/>
      <c r="B152" s="185" t="s">
        <v>241</v>
      </c>
      <c r="C152" s="174"/>
      <c r="D152" s="174"/>
      <c r="E152" s="174"/>
      <c r="F152" s="174"/>
      <c r="G152" s="174"/>
      <c r="H152" s="174"/>
      <c r="I152" s="174"/>
      <c r="J152" s="174"/>
      <c r="K152" s="174"/>
      <c r="L152" s="174"/>
      <c r="M152" s="174"/>
      <c r="N152" s="174"/>
      <c r="O152" s="174"/>
      <c r="P152" s="174"/>
      <c r="Q152" s="174"/>
      <c r="R152" s="174"/>
      <c r="S152" s="174"/>
      <c r="T152" s="174"/>
      <c r="U152" s="174"/>
      <c r="V152" s="174"/>
      <c r="W152" s="174"/>
      <c r="X152" s="174"/>
      <c r="Y152" s="174"/>
      <c r="Z152" s="174"/>
      <c r="AA152" s="174"/>
      <c r="AB152" s="174"/>
      <c r="AC152" s="174"/>
      <c r="AD152" s="174"/>
      <c r="AE152" s="174"/>
      <c r="AF152" s="174"/>
      <c r="AG152" s="174"/>
      <c r="AH152" s="174"/>
      <c r="AI152" s="174"/>
      <c r="AJ152" s="174"/>
      <c r="AK152" s="174"/>
      <c r="AL152" s="174"/>
      <c r="AM152" s="174"/>
      <c r="AN152" s="174"/>
      <c r="AO152" s="174"/>
      <c r="AP152" s="174"/>
      <c r="AQ152" s="174"/>
      <c r="AR152" s="174"/>
      <c r="AS152" s="174"/>
      <c r="AT152" s="174"/>
      <c r="AU152" s="174"/>
      <c r="AV152" s="174"/>
      <c r="AW152" s="174"/>
      <c r="AX152" s="174"/>
      <c r="AY152" s="174"/>
      <c r="AZ152" s="174"/>
      <c r="BA152" s="174"/>
      <c r="BB152" s="174"/>
      <c r="BC152" s="174"/>
      <c r="BD152" s="174"/>
      <c r="BE152" s="174"/>
      <c r="BF152" s="174"/>
      <c r="BG152" s="174"/>
      <c r="BH152" s="174"/>
      <c r="BI152" s="174"/>
      <c r="BJ152" s="174"/>
      <c r="BK152" s="174"/>
      <c r="BL152" s="174"/>
      <c r="BM152" s="176"/>
      <c r="CQ152" s="87"/>
      <c r="CR152" s="87"/>
      <c r="CS152" s="87"/>
      <c r="CT152" s="87"/>
      <c r="CU152" s="87"/>
      <c r="CV152" s="87"/>
      <c r="CW152" s="87"/>
    </row>
    <row r="153" spans="1:101" s="177" customFormat="1" ht="6.95" customHeight="1" outlineLevel="1">
      <c r="A153" s="174"/>
      <c r="B153" s="174"/>
      <c r="C153" s="174"/>
      <c r="D153" s="174"/>
      <c r="E153" s="174"/>
      <c r="F153" s="174"/>
      <c r="G153" s="174"/>
      <c r="H153" s="174"/>
      <c r="I153" s="174"/>
      <c r="J153" s="174"/>
      <c r="K153" s="174"/>
      <c r="L153" s="174"/>
      <c r="M153" s="174"/>
      <c r="N153" s="174"/>
      <c r="O153" s="174"/>
      <c r="P153" s="174"/>
      <c r="Q153" s="174"/>
      <c r="R153" s="174"/>
      <c r="S153" s="174"/>
      <c r="T153" s="174"/>
      <c r="U153" s="174"/>
      <c r="V153" s="174"/>
      <c r="W153" s="174"/>
      <c r="X153" s="174"/>
      <c r="Y153" s="174"/>
      <c r="Z153" s="174"/>
      <c r="AA153" s="174"/>
      <c r="AB153" s="174"/>
      <c r="AC153" s="174"/>
      <c r="AD153" s="174"/>
      <c r="AE153" s="174"/>
      <c r="AF153" s="174"/>
      <c r="AG153" s="174"/>
      <c r="AH153" s="174"/>
      <c r="AI153" s="174"/>
      <c r="AJ153" s="174"/>
      <c r="AK153" s="174"/>
      <c r="AL153" s="174"/>
      <c r="AM153" s="174"/>
      <c r="AN153" s="174"/>
      <c r="AO153" s="174"/>
      <c r="AP153" s="174"/>
      <c r="AQ153" s="174"/>
      <c r="AR153" s="174"/>
      <c r="AS153" s="174"/>
      <c r="AT153" s="174"/>
      <c r="AU153" s="174"/>
      <c r="AV153" s="174"/>
      <c r="AW153" s="174"/>
      <c r="AX153" s="174"/>
      <c r="AY153" s="174"/>
      <c r="AZ153" s="174"/>
      <c r="BA153" s="174"/>
      <c r="BB153" s="174"/>
      <c r="BC153" s="174"/>
      <c r="BD153" s="174"/>
      <c r="BE153" s="174"/>
      <c r="BF153" s="174"/>
      <c r="BG153" s="174"/>
      <c r="BH153" s="174"/>
      <c r="BI153" s="174"/>
      <c r="BJ153" s="174"/>
      <c r="BK153" s="174"/>
      <c r="BL153" s="174"/>
      <c r="BM153" s="176"/>
      <c r="CQ153" s="87"/>
      <c r="CR153" s="87"/>
      <c r="CS153" s="87"/>
      <c r="CT153" s="87"/>
      <c r="CU153" s="87"/>
      <c r="CV153" s="87"/>
      <c r="CW153" s="87"/>
    </row>
    <row r="154" spans="1:101" s="177" customFormat="1" outlineLevel="1">
      <c r="A154" s="174"/>
      <c r="B154" s="378" t="s">
        <v>153</v>
      </c>
      <c r="C154" s="379"/>
      <c r="D154" s="343" t="s">
        <v>242</v>
      </c>
      <c r="E154" s="343"/>
      <c r="F154" s="343"/>
      <c r="G154" s="343"/>
      <c r="H154" s="343"/>
      <c r="I154" s="343"/>
      <c r="J154" s="343"/>
      <c r="K154" s="343"/>
      <c r="L154" s="343"/>
      <c r="M154" s="343"/>
      <c r="N154" s="343"/>
      <c r="O154" s="343"/>
      <c r="P154" s="343" t="s">
        <v>243</v>
      </c>
      <c r="Q154" s="343"/>
      <c r="R154" s="343"/>
      <c r="S154" s="343"/>
      <c r="T154" s="343"/>
      <c r="U154" s="343"/>
      <c r="V154" s="343"/>
      <c r="W154" s="343"/>
      <c r="X154" s="343" t="s">
        <v>244</v>
      </c>
      <c r="Y154" s="343"/>
      <c r="Z154" s="343"/>
      <c r="AA154" s="343"/>
      <c r="AB154" s="343"/>
      <c r="AC154" s="343"/>
      <c r="AD154" s="343"/>
      <c r="AE154" s="343"/>
      <c r="AF154" s="343" t="s">
        <v>245</v>
      </c>
      <c r="AG154" s="343"/>
      <c r="AH154" s="343"/>
      <c r="AI154" s="343"/>
      <c r="AJ154" s="343"/>
      <c r="AK154" s="343"/>
      <c r="AL154" s="343"/>
      <c r="AM154" s="343"/>
      <c r="AN154" s="343" t="s">
        <v>246</v>
      </c>
      <c r="AO154" s="343"/>
      <c r="AP154" s="343"/>
      <c r="AQ154" s="343"/>
      <c r="AR154" s="343"/>
      <c r="AS154" s="343"/>
      <c r="AT154" s="343"/>
      <c r="AU154" s="343"/>
      <c r="AV154" s="343" t="s">
        <v>247</v>
      </c>
      <c r="AW154" s="343"/>
      <c r="AX154" s="343"/>
      <c r="AY154" s="343"/>
      <c r="AZ154" s="343"/>
      <c r="BA154" s="343"/>
      <c r="BB154" s="343"/>
      <c r="BC154" s="343"/>
      <c r="BD154" s="343" t="s">
        <v>248</v>
      </c>
      <c r="BE154" s="343"/>
      <c r="BF154" s="343"/>
      <c r="BG154" s="343"/>
      <c r="BH154" s="343"/>
      <c r="BI154" s="343"/>
      <c r="BJ154" s="343"/>
      <c r="BK154" s="343"/>
      <c r="BL154" s="174"/>
      <c r="BM154" s="176"/>
      <c r="CQ154" s="87"/>
      <c r="CR154" s="87"/>
      <c r="CS154" s="87"/>
      <c r="CT154" s="87"/>
      <c r="CU154" s="87"/>
      <c r="CV154" s="87"/>
      <c r="CW154" s="87"/>
    </row>
    <row r="155" spans="1:101" s="177" customFormat="1" outlineLevel="1">
      <c r="A155" s="174"/>
      <c r="B155" s="352">
        <v>1</v>
      </c>
      <c r="C155" s="353"/>
      <c r="D155" s="400">
        <v>2000000</v>
      </c>
      <c r="E155" s="400"/>
      <c r="F155" s="400"/>
      <c r="G155" s="400"/>
      <c r="H155" s="400"/>
      <c r="I155" s="400"/>
      <c r="J155" s="400"/>
      <c r="K155" s="400"/>
      <c r="L155" s="400"/>
      <c r="M155" s="400"/>
      <c r="N155" s="400"/>
      <c r="O155" s="400"/>
      <c r="P155" s="397" t="s">
        <v>249</v>
      </c>
      <c r="Q155" s="397"/>
      <c r="R155" s="397"/>
      <c r="S155" s="397"/>
      <c r="T155" s="397"/>
      <c r="U155" s="397"/>
      <c r="V155" s="397"/>
      <c r="W155" s="397"/>
      <c r="X155" s="397">
        <v>0</v>
      </c>
      <c r="Y155" s="397"/>
      <c r="Z155" s="397"/>
      <c r="AA155" s="397"/>
      <c r="AB155" s="397"/>
      <c r="AC155" s="397"/>
      <c r="AD155" s="397"/>
      <c r="AE155" s="397"/>
      <c r="AF155" s="397">
        <f>X155/12</f>
        <v>0</v>
      </c>
      <c r="AG155" s="397"/>
      <c r="AH155" s="397"/>
      <c r="AI155" s="397"/>
      <c r="AJ155" s="397"/>
      <c r="AK155" s="397"/>
      <c r="AL155" s="397"/>
      <c r="AM155" s="397"/>
      <c r="AN155" s="401">
        <f>D155*1</f>
        <v>2000000</v>
      </c>
      <c r="AO155" s="401"/>
      <c r="AP155" s="401"/>
      <c r="AQ155" s="401"/>
      <c r="AR155" s="401"/>
      <c r="AS155" s="401"/>
      <c r="AT155" s="401"/>
      <c r="AU155" s="401"/>
      <c r="AV155" s="401">
        <f>AN155*AF155</f>
        <v>0</v>
      </c>
      <c r="AW155" s="401"/>
      <c r="AX155" s="401"/>
      <c r="AY155" s="401"/>
      <c r="AZ155" s="401"/>
      <c r="BA155" s="401"/>
      <c r="BB155" s="401"/>
      <c r="BC155" s="401"/>
      <c r="BD155" s="397">
        <f>(AV155/D155)</f>
        <v>0</v>
      </c>
      <c r="BE155" s="397"/>
      <c r="BF155" s="397"/>
      <c r="BG155" s="397"/>
      <c r="BH155" s="397"/>
      <c r="BI155" s="397"/>
      <c r="BJ155" s="397"/>
      <c r="BK155" s="397"/>
      <c r="BL155" s="174"/>
      <c r="BM155" s="176"/>
      <c r="CQ155" s="87"/>
      <c r="CR155" s="87"/>
      <c r="CS155" s="87"/>
      <c r="CT155" s="87"/>
      <c r="CU155" s="87"/>
      <c r="CV155" s="87"/>
      <c r="CW155" s="87"/>
    </row>
    <row r="156" spans="1:101" s="177" customFormat="1" ht="6.95" customHeight="1">
      <c r="A156" s="17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4"/>
      <c r="V156" s="174"/>
      <c r="W156" s="174"/>
      <c r="X156" s="174"/>
      <c r="Y156" s="174"/>
      <c r="Z156" s="174"/>
      <c r="AA156" s="174"/>
      <c r="AB156" s="174"/>
      <c r="AC156" s="174"/>
      <c r="AD156" s="174"/>
      <c r="AE156" s="174"/>
      <c r="AF156" s="174"/>
      <c r="AG156" s="174"/>
      <c r="AH156" s="174"/>
      <c r="AI156" s="174"/>
      <c r="AJ156" s="174"/>
      <c r="AK156" s="174"/>
      <c r="AL156" s="174"/>
      <c r="AM156" s="174"/>
      <c r="AN156" s="174"/>
      <c r="AO156" s="174"/>
      <c r="AP156" s="174"/>
      <c r="AQ156" s="174"/>
      <c r="AR156" s="174"/>
      <c r="AS156" s="174"/>
      <c r="AT156" s="174"/>
      <c r="AU156" s="174"/>
      <c r="AV156" s="174"/>
      <c r="AW156" s="174"/>
      <c r="AX156" s="174"/>
      <c r="AY156" s="174"/>
      <c r="AZ156" s="174"/>
      <c r="BA156" s="174"/>
      <c r="BB156" s="174"/>
      <c r="BC156" s="174"/>
      <c r="BD156" s="174"/>
      <c r="BE156" s="174"/>
      <c r="BF156" s="174"/>
      <c r="BG156" s="174"/>
      <c r="BH156" s="174"/>
      <c r="BI156" s="174"/>
      <c r="BJ156" s="174"/>
      <c r="BK156" s="174"/>
      <c r="BL156" s="174"/>
      <c r="BM156" s="176"/>
      <c r="CQ156" s="87"/>
      <c r="CR156" s="87"/>
      <c r="CS156" s="87"/>
      <c r="CT156" s="87"/>
      <c r="CU156" s="87"/>
      <c r="CV156" s="87"/>
      <c r="CW156" s="87"/>
    </row>
    <row r="157" spans="1:101" s="177" customFormat="1">
      <c r="A157" s="174"/>
      <c r="B157" s="174"/>
      <c r="C157" s="174"/>
      <c r="D157" s="174"/>
      <c r="E157" s="174"/>
      <c r="F157" s="174"/>
      <c r="G157" s="174"/>
      <c r="H157" s="174"/>
      <c r="I157" s="174"/>
      <c r="J157" s="174"/>
      <c r="K157" s="174"/>
      <c r="L157" s="174"/>
      <c r="M157" s="174"/>
      <c r="N157" s="174"/>
      <c r="O157" s="174"/>
      <c r="P157" s="174"/>
      <c r="Q157" s="174"/>
      <c r="R157" s="174"/>
      <c r="S157" s="174"/>
      <c r="T157" s="174"/>
      <c r="U157" s="174"/>
      <c r="V157" s="174"/>
      <c r="W157" s="174"/>
      <c r="X157" s="174"/>
      <c r="Y157" s="174"/>
      <c r="Z157" s="174"/>
      <c r="AA157" s="174"/>
      <c r="AB157" s="383" t="s">
        <v>178</v>
      </c>
      <c r="AC157" s="383"/>
      <c r="AD157" s="383"/>
      <c r="AE157" s="384" t="str">
        <f>B152</f>
        <v>2. Análisis, Cálculo e Integración de Cargo por Financiamiento</v>
      </c>
      <c r="AF157" s="384"/>
      <c r="AG157" s="384"/>
      <c r="AH157" s="384"/>
      <c r="AI157" s="384"/>
      <c r="AJ157" s="384"/>
      <c r="AK157" s="384"/>
      <c r="AL157" s="384"/>
      <c r="AM157" s="384"/>
      <c r="AN157" s="384"/>
      <c r="AO157" s="384"/>
      <c r="AP157" s="384"/>
      <c r="AQ157" s="384"/>
      <c r="AR157" s="384"/>
      <c r="AS157" s="384"/>
      <c r="AT157" s="384"/>
      <c r="AU157" s="384"/>
      <c r="AV157" s="385">
        <f>AV155</f>
        <v>0</v>
      </c>
      <c r="AW157" s="385"/>
      <c r="AX157" s="385"/>
      <c r="AY157" s="385"/>
      <c r="AZ157" s="385"/>
      <c r="BA157" s="385"/>
      <c r="BB157" s="385"/>
      <c r="BC157" s="385"/>
      <c r="BD157" s="386">
        <f>AV157/$AW$215</f>
        <v>0</v>
      </c>
      <c r="BE157" s="386"/>
      <c r="BF157" s="386"/>
      <c r="BG157" s="386"/>
      <c r="BH157" s="386"/>
      <c r="BI157" s="387" t="s">
        <v>179</v>
      </c>
      <c r="BJ157" s="387"/>
      <c r="BK157" s="387"/>
      <c r="BL157" s="174"/>
      <c r="BM157" s="176"/>
      <c r="CQ157" s="87"/>
      <c r="CR157" s="87"/>
      <c r="CS157" s="87"/>
      <c r="CT157" s="87"/>
      <c r="CU157" s="87"/>
      <c r="CV157" s="87"/>
      <c r="CW157" s="87"/>
    </row>
    <row r="158" spans="1:101" s="177" customFormat="1" ht="6.95" customHeight="1">
      <c r="A158" s="174"/>
      <c r="B158" s="174"/>
      <c r="C158" s="174"/>
      <c r="D158" s="174"/>
      <c r="E158" s="174"/>
      <c r="F158" s="174"/>
      <c r="G158" s="174"/>
      <c r="H158" s="174"/>
      <c r="I158" s="174"/>
      <c r="J158" s="174"/>
      <c r="K158" s="174"/>
      <c r="L158" s="174"/>
      <c r="M158" s="174"/>
      <c r="N158" s="174"/>
      <c r="O158" s="174"/>
      <c r="P158" s="174"/>
      <c r="Q158" s="174"/>
      <c r="R158" s="174"/>
      <c r="S158" s="174"/>
      <c r="T158" s="174"/>
      <c r="U158" s="174"/>
      <c r="V158" s="174"/>
      <c r="W158" s="174"/>
      <c r="X158" s="174"/>
      <c r="Y158" s="174"/>
      <c r="Z158" s="174"/>
      <c r="AA158" s="174"/>
      <c r="AB158" s="174"/>
      <c r="AC158" s="174"/>
      <c r="AD158" s="174"/>
      <c r="AE158" s="174"/>
      <c r="AF158" s="174"/>
      <c r="AG158" s="174"/>
      <c r="AH158" s="174"/>
      <c r="AI158" s="174"/>
      <c r="AJ158" s="174"/>
      <c r="AK158" s="174"/>
      <c r="AL158" s="174"/>
      <c r="AM158" s="174"/>
      <c r="AN158" s="174"/>
      <c r="AO158" s="174"/>
      <c r="AP158" s="174"/>
      <c r="AQ158" s="174"/>
      <c r="AR158" s="174"/>
      <c r="AS158" s="174"/>
      <c r="AT158" s="174"/>
      <c r="AU158" s="174"/>
      <c r="AV158" s="174"/>
      <c r="AW158" s="174"/>
      <c r="AX158" s="174"/>
      <c r="AY158" s="174"/>
      <c r="AZ158" s="174"/>
      <c r="BA158" s="174"/>
      <c r="BB158" s="174"/>
      <c r="BC158" s="174"/>
      <c r="BD158" s="174"/>
      <c r="BE158" s="174"/>
      <c r="BF158" s="174"/>
      <c r="BG158" s="174"/>
      <c r="BH158" s="174"/>
      <c r="BI158" s="174"/>
      <c r="BJ158" s="174"/>
      <c r="BK158" s="174"/>
      <c r="BL158" s="174"/>
      <c r="BM158" s="176"/>
      <c r="CQ158" s="87"/>
      <c r="CR158" s="87"/>
      <c r="CS158" s="87"/>
      <c r="CT158" s="87"/>
      <c r="CU158" s="87"/>
      <c r="CV158" s="87"/>
      <c r="CW158" s="87"/>
    </row>
    <row r="159" spans="1:101" s="177" customFormat="1">
      <c r="A159" s="174"/>
      <c r="B159" s="185" t="s">
        <v>250</v>
      </c>
      <c r="C159" s="174"/>
      <c r="D159" s="174"/>
      <c r="E159" s="174"/>
      <c r="F159" s="174"/>
      <c r="G159" s="174"/>
      <c r="H159" s="174"/>
      <c r="I159" s="174"/>
      <c r="J159" s="174"/>
      <c r="K159" s="174"/>
      <c r="L159" s="174"/>
      <c r="M159" s="174"/>
      <c r="N159" s="174"/>
      <c r="O159" s="174"/>
      <c r="P159" s="174"/>
      <c r="Q159" s="174"/>
      <c r="R159" s="174"/>
      <c r="S159" s="174"/>
      <c r="T159" s="174"/>
      <c r="U159" s="174"/>
      <c r="V159" s="174"/>
      <c r="W159" s="174"/>
      <c r="X159" s="174"/>
      <c r="Y159" s="174"/>
      <c r="Z159" s="174"/>
      <c r="AA159" s="174"/>
      <c r="AB159" s="174"/>
      <c r="AC159" s="174"/>
      <c r="AD159" s="174"/>
      <c r="AE159" s="174"/>
      <c r="AF159" s="174"/>
      <c r="AG159" s="174"/>
      <c r="AH159" s="174"/>
      <c r="AI159" s="174"/>
      <c r="AJ159" s="174"/>
      <c r="AK159" s="174"/>
      <c r="AL159" s="174"/>
      <c r="AM159" s="174"/>
      <c r="AN159" s="174"/>
      <c r="AO159" s="174"/>
      <c r="AP159" s="174"/>
      <c r="AQ159" s="174"/>
      <c r="AR159" s="174"/>
      <c r="AS159" s="174"/>
      <c r="AT159" s="174"/>
      <c r="AU159" s="174"/>
      <c r="AV159" s="174"/>
      <c r="AW159" s="174"/>
      <c r="AX159" s="174"/>
      <c r="AY159" s="174"/>
      <c r="AZ159" s="174"/>
      <c r="BA159" s="174"/>
      <c r="BB159" s="174"/>
      <c r="BC159" s="174"/>
      <c r="BD159" s="174"/>
      <c r="BE159" s="174"/>
      <c r="BF159" s="174"/>
      <c r="BG159" s="174"/>
      <c r="BH159" s="174"/>
      <c r="BI159" s="174"/>
      <c r="BJ159" s="174"/>
      <c r="BK159" s="174"/>
      <c r="BL159" s="174"/>
      <c r="BM159" s="176"/>
      <c r="CQ159" s="87"/>
      <c r="CR159" s="87"/>
      <c r="CS159" s="87"/>
      <c r="CT159" s="87"/>
      <c r="CU159" s="87"/>
      <c r="CV159" s="87"/>
      <c r="CW159" s="87"/>
    </row>
    <row r="160" spans="1:101" s="177" customFormat="1" ht="6.95" customHeight="1" outlineLevel="1">
      <c r="A160" s="174"/>
      <c r="B160" s="174"/>
      <c r="C160" s="174"/>
      <c r="D160" s="174"/>
      <c r="E160" s="174"/>
      <c r="F160" s="174"/>
      <c r="G160" s="174"/>
      <c r="H160" s="174"/>
      <c r="I160" s="174"/>
      <c r="J160" s="174"/>
      <c r="K160" s="174"/>
      <c r="L160" s="174"/>
      <c r="M160" s="174"/>
      <c r="N160" s="174"/>
      <c r="O160" s="174"/>
      <c r="P160" s="174"/>
      <c r="Q160" s="174"/>
      <c r="R160" s="174"/>
      <c r="S160" s="174"/>
      <c r="T160" s="174"/>
      <c r="U160" s="174"/>
      <c r="V160" s="174"/>
      <c r="W160" s="174"/>
      <c r="X160" s="174"/>
      <c r="Y160" s="174"/>
      <c r="Z160" s="174"/>
      <c r="AA160" s="174"/>
      <c r="AB160" s="174"/>
      <c r="AC160" s="174"/>
      <c r="AD160" s="174"/>
      <c r="AE160" s="174"/>
      <c r="AF160" s="174"/>
      <c r="AG160" s="174"/>
      <c r="AH160" s="174"/>
      <c r="AI160" s="174"/>
      <c r="AJ160" s="174"/>
      <c r="AK160" s="174"/>
      <c r="AL160" s="174"/>
      <c r="AM160" s="174"/>
      <c r="AN160" s="174"/>
      <c r="AO160" s="174"/>
      <c r="AP160" s="174"/>
      <c r="AQ160" s="174"/>
      <c r="AR160" s="174"/>
      <c r="AS160" s="174"/>
      <c r="AT160" s="174"/>
      <c r="AU160" s="174"/>
      <c r="AV160" s="174"/>
      <c r="AW160" s="174"/>
      <c r="AX160" s="174"/>
      <c r="AY160" s="174"/>
      <c r="AZ160" s="174"/>
      <c r="BA160" s="174"/>
      <c r="BB160" s="174"/>
      <c r="BC160" s="174"/>
      <c r="BD160" s="174"/>
      <c r="BE160" s="174"/>
      <c r="BF160" s="174"/>
      <c r="BG160" s="174"/>
      <c r="BH160" s="174"/>
      <c r="BI160" s="174"/>
      <c r="BJ160" s="174"/>
      <c r="BK160" s="174"/>
      <c r="BL160" s="174"/>
      <c r="BM160" s="176"/>
      <c r="CQ160" s="87"/>
      <c r="CR160" s="87"/>
      <c r="CS160" s="87"/>
      <c r="CT160" s="87"/>
      <c r="CU160" s="87"/>
      <c r="CV160" s="87"/>
      <c r="CW160" s="87"/>
    </row>
    <row r="161" spans="1:101" s="177" customFormat="1" outlineLevel="1">
      <c r="A161" s="174"/>
      <c r="B161" s="378" t="s">
        <v>153</v>
      </c>
      <c r="C161" s="379"/>
      <c r="D161" s="343" t="s">
        <v>251</v>
      </c>
      <c r="E161" s="343"/>
      <c r="F161" s="343"/>
      <c r="G161" s="343"/>
      <c r="H161" s="343"/>
      <c r="I161" s="343"/>
      <c r="J161" s="343"/>
      <c r="K161" s="343"/>
      <c r="L161" s="343"/>
      <c r="M161" s="343"/>
      <c r="N161" s="343"/>
      <c r="O161" s="343"/>
      <c r="P161" s="343" t="s">
        <v>252</v>
      </c>
      <c r="Q161" s="343"/>
      <c r="R161" s="343"/>
      <c r="S161" s="343"/>
      <c r="T161" s="343"/>
      <c r="U161" s="343"/>
      <c r="V161" s="343"/>
      <c r="W161" s="343"/>
      <c r="X161" s="343" t="s">
        <v>253</v>
      </c>
      <c r="Y161" s="343"/>
      <c r="Z161" s="343"/>
      <c r="AA161" s="343"/>
      <c r="AB161" s="343"/>
      <c r="AC161" s="343"/>
      <c r="AD161" s="343"/>
      <c r="AE161" s="343"/>
      <c r="AF161" s="343" t="s">
        <v>254</v>
      </c>
      <c r="AG161" s="343"/>
      <c r="AH161" s="343"/>
      <c r="AI161" s="343"/>
      <c r="AJ161" s="343"/>
      <c r="AK161" s="343"/>
      <c r="AL161" s="343"/>
      <c r="AM161" s="343"/>
      <c r="AN161" s="343" t="s">
        <v>255</v>
      </c>
      <c r="AO161" s="343"/>
      <c r="AP161" s="343"/>
      <c r="AQ161" s="343"/>
      <c r="AR161" s="343"/>
      <c r="AS161" s="343"/>
      <c r="AT161" s="343"/>
      <c r="AU161" s="343"/>
      <c r="AV161" s="343" t="s">
        <v>256</v>
      </c>
      <c r="AW161" s="343"/>
      <c r="AX161" s="343"/>
      <c r="AY161" s="343"/>
      <c r="AZ161" s="343"/>
      <c r="BA161" s="343"/>
      <c r="BB161" s="343"/>
      <c r="BC161" s="343"/>
      <c r="BD161" s="343" t="s">
        <v>257</v>
      </c>
      <c r="BE161" s="343"/>
      <c r="BF161" s="343"/>
      <c r="BG161" s="343"/>
      <c r="BH161" s="343"/>
      <c r="BI161" s="343"/>
      <c r="BJ161" s="343"/>
      <c r="BK161" s="343"/>
      <c r="BL161" s="174"/>
      <c r="BM161" s="176"/>
      <c r="BN161" s="176"/>
      <c r="BO161" s="176"/>
      <c r="BP161" s="176"/>
      <c r="BQ161" s="176"/>
      <c r="BR161" s="176"/>
      <c r="BS161" s="176"/>
      <c r="BT161" s="176"/>
      <c r="BU161" s="176"/>
      <c r="BV161" s="176"/>
      <c r="BW161" s="176"/>
      <c r="CQ161" s="87"/>
      <c r="CR161" s="87"/>
      <c r="CS161" s="87"/>
      <c r="CT161" s="87"/>
      <c r="CU161" s="87"/>
      <c r="CV161" s="87"/>
      <c r="CW161" s="87"/>
    </row>
    <row r="162" spans="1:101" s="177" customFormat="1" outlineLevel="1">
      <c r="A162" s="174"/>
      <c r="B162" s="352">
        <v>1</v>
      </c>
      <c r="C162" s="353"/>
      <c r="D162" s="396">
        <f>$AW$5+AV150+AV157</f>
        <v>7843561.7300000004</v>
      </c>
      <c r="E162" s="396"/>
      <c r="F162" s="396"/>
      <c r="G162" s="396"/>
      <c r="H162" s="396"/>
      <c r="I162" s="396"/>
      <c r="J162" s="396"/>
      <c r="K162" s="396"/>
      <c r="L162" s="396"/>
      <c r="M162" s="396"/>
      <c r="N162" s="396"/>
      <c r="O162" s="396"/>
      <c r="P162" s="397">
        <v>5.3999999999999999E-2</v>
      </c>
      <c r="Q162" s="397"/>
      <c r="R162" s="397"/>
      <c r="S162" s="397"/>
      <c r="T162" s="397"/>
      <c r="U162" s="397"/>
      <c r="V162" s="397"/>
      <c r="W162" s="397"/>
      <c r="X162" s="397">
        <v>0.3</v>
      </c>
      <c r="Y162" s="397"/>
      <c r="Z162" s="397"/>
      <c r="AA162" s="397"/>
      <c r="AB162" s="397"/>
      <c r="AC162" s="397"/>
      <c r="AD162" s="397"/>
      <c r="AE162" s="397"/>
      <c r="AF162" s="397">
        <v>0.1</v>
      </c>
      <c r="AG162" s="397"/>
      <c r="AH162" s="397"/>
      <c r="AI162" s="397"/>
      <c r="AJ162" s="397"/>
      <c r="AK162" s="397"/>
      <c r="AL162" s="397"/>
      <c r="AM162" s="397"/>
      <c r="AN162" s="399">
        <f>(P162)/(1-(X162+AF162))</f>
        <v>0.09</v>
      </c>
      <c r="AO162" s="399"/>
      <c r="AP162" s="399"/>
      <c r="AQ162" s="399"/>
      <c r="AR162" s="399"/>
      <c r="AS162" s="399"/>
      <c r="AT162" s="399"/>
      <c r="AU162" s="399"/>
      <c r="AV162" s="398">
        <f>D162*AN162</f>
        <v>705920.55570000003</v>
      </c>
      <c r="AW162" s="398"/>
      <c r="AX162" s="398"/>
      <c r="AY162" s="398"/>
      <c r="AZ162" s="398"/>
      <c r="BA162" s="398"/>
      <c r="BB162" s="398"/>
      <c r="BC162" s="398"/>
      <c r="BD162" s="398">
        <f>D162*P162</f>
        <v>423552.33342000004</v>
      </c>
      <c r="BE162" s="398"/>
      <c r="BF162" s="398"/>
      <c r="BG162" s="398"/>
      <c r="BH162" s="398"/>
      <c r="BI162" s="398"/>
      <c r="BJ162" s="398"/>
      <c r="BK162" s="398"/>
      <c r="BL162" s="174"/>
      <c r="BM162" s="176"/>
      <c r="BN162" s="176"/>
      <c r="BO162" s="176"/>
      <c r="BP162" s="176"/>
      <c r="BQ162" s="176"/>
      <c r="BR162" s="176"/>
      <c r="BS162" s="176"/>
      <c r="CQ162" s="87"/>
      <c r="CR162" s="87"/>
      <c r="CS162" s="87"/>
      <c r="CT162" s="87"/>
      <c r="CU162" s="87"/>
      <c r="CV162" s="87"/>
      <c r="CW162" s="87"/>
    </row>
    <row r="163" spans="1:101" s="177" customFormat="1" ht="6.95" customHeight="1">
      <c r="A163" s="174"/>
      <c r="B163" s="174"/>
      <c r="C163" s="174"/>
      <c r="D163" s="174"/>
      <c r="E163" s="174"/>
      <c r="F163" s="174"/>
      <c r="G163" s="174"/>
      <c r="H163" s="174"/>
      <c r="I163" s="174"/>
      <c r="J163" s="174"/>
      <c r="K163" s="174"/>
      <c r="L163" s="174"/>
      <c r="M163" s="174"/>
      <c r="N163" s="174"/>
      <c r="O163" s="174"/>
      <c r="P163" s="174"/>
      <c r="Q163" s="174"/>
      <c r="R163" s="174"/>
      <c r="S163" s="174"/>
      <c r="T163" s="174"/>
      <c r="U163" s="174"/>
      <c r="V163" s="174"/>
      <c r="W163" s="174"/>
      <c r="X163" s="174"/>
      <c r="Y163" s="174"/>
      <c r="Z163" s="174"/>
      <c r="AA163" s="174"/>
      <c r="AB163" s="174"/>
      <c r="AC163" s="174"/>
      <c r="AD163" s="174"/>
      <c r="AE163" s="174"/>
      <c r="AF163" s="174"/>
      <c r="AG163" s="174"/>
      <c r="AH163" s="174"/>
      <c r="AI163" s="174"/>
      <c r="AJ163" s="174"/>
      <c r="AK163" s="174"/>
      <c r="AL163" s="174"/>
      <c r="AM163" s="174"/>
      <c r="AN163" s="174"/>
      <c r="AO163" s="174"/>
      <c r="AP163" s="174"/>
      <c r="AQ163" s="174"/>
      <c r="AR163" s="174"/>
      <c r="AS163" s="174"/>
      <c r="AT163" s="174"/>
      <c r="AU163" s="174"/>
      <c r="AV163" s="174"/>
      <c r="AW163" s="174"/>
      <c r="AX163" s="174"/>
      <c r="AY163" s="174"/>
      <c r="AZ163" s="174"/>
      <c r="BA163" s="174"/>
      <c r="BB163" s="174"/>
      <c r="BC163" s="174"/>
      <c r="BD163" s="174"/>
      <c r="BE163" s="174"/>
      <c r="BF163" s="174"/>
      <c r="BG163" s="174"/>
      <c r="BH163" s="174"/>
      <c r="BI163" s="174"/>
      <c r="BJ163" s="174"/>
      <c r="BK163" s="174"/>
      <c r="BL163" s="174"/>
      <c r="BM163" s="176"/>
      <c r="CQ163" s="87"/>
      <c r="CR163" s="87"/>
      <c r="CS163" s="87"/>
      <c r="CT163" s="87"/>
      <c r="CU163" s="87"/>
      <c r="CV163" s="87"/>
      <c r="CW163" s="87"/>
    </row>
    <row r="164" spans="1:101" s="177" customFormat="1">
      <c r="A164" s="174"/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74"/>
      <c r="P164" s="174"/>
      <c r="Q164" s="174"/>
      <c r="R164" s="174"/>
      <c r="S164" s="174"/>
      <c r="T164" s="174"/>
      <c r="U164" s="174"/>
      <c r="V164" s="174"/>
      <c r="W164" s="174"/>
      <c r="X164" s="174"/>
      <c r="Y164" s="174"/>
      <c r="Z164" s="174"/>
      <c r="AA164" s="174"/>
      <c r="AB164" s="383" t="s">
        <v>178</v>
      </c>
      <c r="AC164" s="383"/>
      <c r="AD164" s="383"/>
      <c r="AE164" s="384" t="str">
        <f>B159</f>
        <v>3. Análisis, Cálculo e Integración de Cargo por Utilidad</v>
      </c>
      <c r="AF164" s="384"/>
      <c r="AG164" s="384"/>
      <c r="AH164" s="384"/>
      <c r="AI164" s="384"/>
      <c r="AJ164" s="384"/>
      <c r="AK164" s="384"/>
      <c r="AL164" s="384"/>
      <c r="AM164" s="384"/>
      <c r="AN164" s="384"/>
      <c r="AO164" s="384"/>
      <c r="AP164" s="384"/>
      <c r="AQ164" s="384"/>
      <c r="AR164" s="384"/>
      <c r="AS164" s="384"/>
      <c r="AT164" s="384"/>
      <c r="AU164" s="384"/>
      <c r="AV164" s="385">
        <f>AV162</f>
        <v>705920.55570000003</v>
      </c>
      <c r="AW164" s="385"/>
      <c r="AX164" s="385"/>
      <c r="AY164" s="385"/>
      <c r="AZ164" s="385"/>
      <c r="BA164" s="385"/>
      <c r="BB164" s="385"/>
      <c r="BC164" s="385"/>
      <c r="BD164" s="386">
        <f>AV164/$AW$215</f>
        <v>7.8120339884074325E-2</v>
      </c>
      <c r="BE164" s="386"/>
      <c r="BF164" s="386"/>
      <c r="BG164" s="386"/>
      <c r="BH164" s="386"/>
      <c r="BI164" s="387" t="s">
        <v>179</v>
      </c>
      <c r="BJ164" s="387"/>
      <c r="BK164" s="387"/>
      <c r="BL164" s="174"/>
      <c r="BM164" s="176"/>
      <c r="CQ164" s="87"/>
      <c r="CR164" s="87"/>
      <c r="CS164" s="87"/>
      <c r="CT164" s="87"/>
      <c r="CU164" s="87"/>
      <c r="CV164" s="87"/>
      <c r="CW164" s="87"/>
    </row>
    <row r="165" spans="1:101" s="177" customFormat="1" ht="6.95" customHeight="1">
      <c r="A165" s="174"/>
      <c r="B165" s="174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74"/>
      <c r="BI165" s="174"/>
      <c r="BJ165" s="174"/>
      <c r="BK165" s="174"/>
      <c r="BL165" s="174"/>
      <c r="BM165" s="176"/>
      <c r="CQ165" s="87"/>
      <c r="CR165" s="87"/>
      <c r="CS165" s="87"/>
      <c r="CT165" s="87"/>
      <c r="CU165" s="87"/>
      <c r="CV165" s="87"/>
      <c r="CW165" s="87"/>
    </row>
    <row r="166" spans="1:101">
      <c r="B166" s="185" t="s">
        <v>258</v>
      </c>
    </row>
    <row r="167" spans="1:101" ht="6.95" customHeight="1" outlineLevel="1"/>
    <row r="168" spans="1:101" outlineLevel="1">
      <c r="B168" s="378" t="s">
        <v>153</v>
      </c>
      <c r="C168" s="379"/>
      <c r="D168" s="343" t="s">
        <v>259</v>
      </c>
      <c r="E168" s="343"/>
      <c r="F168" s="343"/>
      <c r="G168" s="343"/>
      <c r="H168" s="343"/>
      <c r="I168" s="343"/>
      <c r="J168" s="343"/>
      <c r="K168" s="343"/>
      <c r="L168" s="343"/>
      <c r="M168" s="343"/>
      <c r="N168" s="343"/>
      <c r="O168" s="343"/>
      <c r="P168" s="343" t="s">
        <v>260</v>
      </c>
      <c r="Q168" s="343"/>
      <c r="R168" s="343"/>
      <c r="S168" s="343"/>
      <c r="T168" s="343"/>
      <c r="U168" s="343"/>
      <c r="V168" s="343"/>
      <c r="W168" s="343"/>
      <c r="X168" s="343" t="s">
        <v>261</v>
      </c>
      <c r="Y168" s="343"/>
      <c r="Z168" s="343"/>
      <c r="AA168" s="343"/>
      <c r="AB168" s="343"/>
      <c r="AC168" s="343"/>
      <c r="AD168" s="343"/>
      <c r="AE168" s="343"/>
      <c r="AF168" s="343" t="s">
        <v>262</v>
      </c>
      <c r="AG168" s="343"/>
      <c r="AH168" s="343"/>
      <c r="AI168" s="343"/>
      <c r="AJ168" s="343"/>
      <c r="AK168" s="343"/>
      <c r="AL168" s="343"/>
      <c r="AM168" s="343"/>
      <c r="AN168" s="343" t="s">
        <v>263</v>
      </c>
      <c r="AO168" s="343"/>
      <c r="AP168" s="343"/>
      <c r="AQ168" s="343"/>
      <c r="AR168" s="343"/>
      <c r="AS168" s="343"/>
      <c r="AT168" s="343"/>
      <c r="AU168" s="343"/>
      <c r="AV168" s="343" t="s">
        <v>264</v>
      </c>
      <c r="AW168" s="343"/>
      <c r="AX168" s="343"/>
      <c r="AY168" s="343"/>
      <c r="AZ168" s="343"/>
      <c r="BA168" s="343"/>
      <c r="BB168" s="343"/>
      <c r="BC168" s="343"/>
      <c r="BD168" s="343" t="s">
        <v>265</v>
      </c>
      <c r="BE168" s="343"/>
      <c r="BF168" s="343"/>
      <c r="BG168" s="343"/>
      <c r="BH168" s="343"/>
      <c r="BI168" s="343"/>
      <c r="BJ168" s="343"/>
      <c r="BK168" s="343"/>
    </row>
    <row r="169" spans="1:101" outlineLevel="1">
      <c r="B169" s="352">
        <v>1</v>
      </c>
      <c r="C169" s="353"/>
      <c r="D169" s="396">
        <f>D162+AV164</f>
        <v>8549482.2857000008</v>
      </c>
      <c r="E169" s="396"/>
      <c r="F169" s="396"/>
      <c r="G169" s="396"/>
      <c r="H169" s="396"/>
      <c r="I169" s="396"/>
      <c r="J169" s="396"/>
      <c r="K169" s="396"/>
      <c r="L169" s="396"/>
      <c r="M169" s="396"/>
      <c r="N169" s="396"/>
      <c r="O169" s="396"/>
      <c r="P169" s="397">
        <v>5.0000000000000001E-3</v>
      </c>
      <c r="Q169" s="397"/>
      <c r="R169" s="397"/>
      <c r="S169" s="397"/>
      <c r="T169" s="397"/>
      <c r="U169" s="397"/>
      <c r="V169" s="397"/>
      <c r="W169" s="397"/>
      <c r="X169" s="397">
        <v>0</v>
      </c>
      <c r="Y169" s="397"/>
      <c r="Z169" s="397"/>
      <c r="AA169" s="397"/>
      <c r="AB169" s="397"/>
      <c r="AC169" s="397"/>
      <c r="AD169" s="397"/>
      <c r="AE169" s="397"/>
      <c r="AF169" s="397">
        <v>5.0000000000000001E-3</v>
      </c>
      <c r="AG169" s="397"/>
      <c r="AH169" s="397"/>
      <c r="AI169" s="397"/>
      <c r="AJ169" s="397"/>
      <c r="AK169" s="397"/>
      <c r="AL169" s="397"/>
      <c r="AM169" s="397"/>
      <c r="AN169" s="397">
        <v>0</v>
      </c>
      <c r="AO169" s="397"/>
      <c r="AP169" s="397"/>
      <c r="AQ169" s="397"/>
      <c r="AR169" s="397"/>
      <c r="AS169" s="397"/>
      <c r="AT169" s="397"/>
      <c r="AU169" s="397"/>
      <c r="AV169" s="397">
        <v>0</v>
      </c>
      <c r="AW169" s="397"/>
      <c r="AX169" s="397"/>
      <c r="AY169" s="397"/>
      <c r="AZ169" s="397"/>
      <c r="BA169" s="397"/>
      <c r="BB169" s="397"/>
      <c r="BC169" s="397"/>
      <c r="BD169" s="397">
        <v>0</v>
      </c>
      <c r="BE169" s="397"/>
      <c r="BF169" s="397"/>
      <c r="BG169" s="397"/>
      <c r="BH169" s="397"/>
      <c r="BI169" s="397"/>
      <c r="BJ169" s="397"/>
      <c r="BK169" s="397"/>
    </row>
    <row r="170" spans="1:101" ht="6.95" customHeight="1"/>
    <row r="171" spans="1:101">
      <c r="AB171" s="383" t="s">
        <v>178</v>
      </c>
      <c r="AC171" s="383"/>
      <c r="AD171" s="383"/>
      <c r="AE171" s="384" t="str">
        <f>B166</f>
        <v>4. Análisis, Cálculo e Integración de Cargos Adicionales</v>
      </c>
      <c r="AF171" s="384"/>
      <c r="AG171" s="384"/>
      <c r="AH171" s="384"/>
      <c r="AI171" s="384"/>
      <c r="AJ171" s="384"/>
      <c r="AK171" s="384"/>
      <c r="AL171" s="384"/>
      <c r="AM171" s="384"/>
      <c r="AN171" s="384"/>
      <c r="AO171" s="384"/>
      <c r="AP171" s="384"/>
      <c r="AQ171" s="384"/>
      <c r="AR171" s="384"/>
      <c r="AS171" s="384"/>
      <c r="AT171" s="384"/>
      <c r="AU171" s="384"/>
      <c r="AV171" s="385">
        <f>(D169*P169)+(D169*X169)+(D169*AF169)+(D169*AN169)+(D169*AV169)+(D169*BD169)</f>
        <v>85494.822857000006</v>
      </c>
      <c r="AW171" s="385"/>
      <c r="AX171" s="385"/>
      <c r="AY171" s="385"/>
      <c r="AZ171" s="385"/>
      <c r="BA171" s="385"/>
      <c r="BB171" s="385"/>
      <c r="BC171" s="385"/>
      <c r="BD171" s="386">
        <f>AV171/$AW$215</f>
        <v>9.46124116373789E-3</v>
      </c>
      <c r="BE171" s="386"/>
      <c r="BF171" s="386"/>
      <c r="BG171" s="386"/>
      <c r="BH171" s="386"/>
      <c r="BI171" s="387" t="s">
        <v>179</v>
      </c>
      <c r="BJ171" s="387"/>
      <c r="BK171" s="387"/>
    </row>
    <row r="172" spans="1:101" ht="6.95" customHeight="1"/>
    <row r="173" spans="1:101" s="176" customFormat="1">
      <c r="A173" s="174"/>
      <c r="B173" s="185" t="s">
        <v>266</v>
      </c>
      <c r="C173" s="174"/>
      <c r="D173" s="174"/>
      <c r="E173" s="174"/>
      <c r="F173" s="174"/>
      <c r="G173" s="174"/>
      <c r="H173" s="174"/>
      <c r="I173" s="174"/>
      <c r="J173" s="174"/>
      <c r="K173" s="174"/>
      <c r="L173" s="174"/>
      <c r="M173" s="174"/>
      <c r="N173" s="174"/>
      <c r="O173" s="174"/>
      <c r="P173" s="174"/>
      <c r="Q173" s="174"/>
      <c r="R173" s="174"/>
      <c r="S173" s="174"/>
      <c r="T173" s="174"/>
      <c r="U173" s="174"/>
      <c r="V173" s="174"/>
      <c r="W173" s="174"/>
      <c r="X173" s="174"/>
      <c r="Y173" s="174"/>
      <c r="Z173" s="174"/>
      <c r="AA173" s="174"/>
      <c r="AB173" s="174"/>
      <c r="AC173" s="174"/>
      <c r="AD173" s="174"/>
      <c r="AE173" s="174"/>
      <c r="AF173" s="174"/>
      <c r="AG173" s="174"/>
      <c r="AH173" s="174"/>
      <c r="AI173" s="174"/>
      <c r="AJ173" s="174"/>
      <c r="AK173" s="174"/>
      <c r="AL173" s="174"/>
      <c r="AM173" s="174"/>
      <c r="AN173" s="174"/>
      <c r="AO173" s="174"/>
      <c r="AP173" s="174"/>
      <c r="AQ173" s="174"/>
      <c r="AR173" s="174"/>
      <c r="AS173" s="174"/>
      <c r="AT173" s="174"/>
      <c r="AU173" s="174"/>
      <c r="AV173" s="174"/>
      <c r="AW173" s="174"/>
      <c r="AX173" s="174"/>
      <c r="AY173" s="174"/>
      <c r="AZ173" s="174"/>
      <c r="BA173" s="174"/>
      <c r="BB173" s="174"/>
      <c r="BC173" s="174"/>
      <c r="BD173" s="174"/>
      <c r="BE173" s="174"/>
      <c r="BF173" s="174"/>
      <c r="BG173" s="174"/>
      <c r="BH173" s="174"/>
      <c r="BI173" s="174"/>
      <c r="BJ173" s="174"/>
      <c r="BK173" s="174"/>
      <c r="BL173" s="174"/>
      <c r="BN173" s="177"/>
      <c r="BO173" s="177"/>
      <c r="BP173" s="177"/>
      <c r="BQ173" s="177"/>
      <c r="BR173" s="177"/>
      <c r="BS173" s="177"/>
      <c r="BT173" s="177"/>
      <c r="BU173" s="177"/>
      <c r="BV173" s="177"/>
      <c r="BW173" s="177"/>
      <c r="BX173" s="177"/>
      <c r="BY173" s="177"/>
      <c r="BZ173" s="177"/>
      <c r="CA173" s="177"/>
      <c r="CB173" s="177"/>
      <c r="CC173" s="177"/>
      <c r="CD173" s="177"/>
      <c r="CE173" s="177"/>
      <c r="CF173" s="177"/>
      <c r="CG173" s="177"/>
      <c r="CH173" s="177"/>
      <c r="CI173" s="177"/>
      <c r="CJ173" s="177"/>
      <c r="CK173" s="177"/>
      <c r="CL173" s="177"/>
      <c r="CM173" s="177"/>
      <c r="CN173" s="177"/>
      <c r="CO173" s="177"/>
      <c r="CP173" s="177"/>
      <c r="CQ173" s="87"/>
      <c r="CR173" s="87"/>
      <c r="CS173" s="87"/>
      <c r="CT173" s="87"/>
      <c r="CU173" s="87"/>
      <c r="CV173" s="87"/>
      <c r="CW173" s="87"/>
    </row>
    <row r="174" spans="1:101" s="176" customFormat="1" ht="6.95" customHeight="1" outlineLevel="1">
      <c r="A174" s="174"/>
      <c r="B174" s="174"/>
      <c r="C174" s="174"/>
      <c r="D174" s="174"/>
      <c r="E174" s="174"/>
      <c r="F174" s="174"/>
      <c r="G174" s="174"/>
      <c r="H174" s="174"/>
      <c r="I174" s="174"/>
      <c r="J174" s="174"/>
      <c r="K174" s="174"/>
      <c r="L174" s="174"/>
      <c r="M174" s="174"/>
      <c r="N174" s="174"/>
      <c r="O174" s="174"/>
      <c r="P174" s="174"/>
      <c r="Q174" s="174"/>
      <c r="R174" s="174"/>
      <c r="S174" s="174"/>
      <c r="T174" s="174"/>
      <c r="U174" s="174"/>
      <c r="V174" s="174"/>
      <c r="W174" s="174"/>
      <c r="X174" s="174"/>
      <c r="Y174" s="174"/>
      <c r="Z174" s="174"/>
      <c r="AA174" s="174"/>
      <c r="AB174" s="174"/>
      <c r="AC174" s="174"/>
      <c r="AD174" s="174"/>
      <c r="AE174" s="174"/>
      <c r="AF174" s="174"/>
      <c r="AG174" s="174"/>
      <c r="AH174" s="174"/>
      <c r="AI174" s="174"/>
      <c r="AJ174" s="174"/>
      <c r="AK174" s="174"/>
      <c r="AL174" s="174"/>
      <c r="AM174" s="174"/>
      <c r="AN174" s="174"/>
      <c r="AO174" s="174"/>
      <c r="AP174" s="174"/>
      <c r="AQ174" s="174"/>
      <c r="AR174" s="174"/>
      <c r="AS174" s="174"/>
      <c r="AT174" s="174"/>
      <c r="AU174" s="174"/>
      <c r="AV174" s="174"/>
      <c r="AW174" s="174"/>
      <c r="AX174" s="174"/>
      <c r="AY174" s="174"/>
      <c r="AZ174" s="174"/>
      <c r="BA174" s="174"/>
      <c r="BB174" s="174"/>
      <c r="BC174" s="174"/>
      <c r="BD174" s="174"/>
      <c r="BE174" s="174"/>
      <c r="BF174" s="174"/>
      <c r="BG174" s="174"/>
      <c r="BH174" s="174"/>
      <c r="BI174" s="174"/>
      <c r="BJ174" s="174"/>
      <c r="BK174" s="174"/>
      <c r="BL174" s="174"/>
      <c r="BN174" s="177"/>
      <c r="BO174" s="177"/>
      <c r="BP174" s="177"/>
      <c r="BQ174" s="177"/>
      <c r="BR174" s="177"/>
      <c r="BS174" s="177"/>
      <c r="BT174" s="177"/>
      <c r="BU174" s="177"/>
      <c r="BV174" s="177"/>
      <c r="BW174" s="177"/>
      <c r="BX174" s="177"/>
      <c r="BY174" s="177"/>
      <c r="BZ174" s="177"/>
      <c r="CA174" s="177"/>
      <c r="CB174" s="177"/>
      <c r="CC174" s="177"/>
      <c r="CD174" s="177"/>
      <c r="CE174" s="177"/>
      <c r="CF174" s="177"/>
      <c r="CG174" s="177"/>
      <c r="CH174" s="177"/>
      <c r="CI174" s="177"/>
      <c r="CJ174" s="177"/>
      <c r="CK174" s="177"/>
      <c r="CL174" s="177"/>
      <c r="CM174" s="177"/>
      <c r="CN174" s="177"/>
      <c r="CO174" s="177"/>
      <c r="CP174" s="177"/>
      <c r="CQ174" s="87"/>
      <c r="CR174" s="87"/>
      <c r="CS174" s="87"/>
      <c r="CT174" s="87"/>
      <c r="CU174" s="87"/>
      <c r="CV174" s="87"/>
      <c r="CW174" s="87"/>
    </row>
    <row r="175" spans="1:101" s="176" customFormat="1" outlineLevel="1">
      <c r="A175" s="174"/>
      <c r="B175" s="378" t="s">
        <v>153</v>
      </c>
      <c r="C175" s="379"/>
      <c r="D175" s="343" t="s">
        <v>267</v>
      </c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 t="s">
        <v>268</v>
      </c>
      <c r="Q175" s="343"/>
      <c r="R175" s="343"/>
      <c r="S175" s="343"/>
      <c r="T175" s="343"/>
      <c r="U175" s="343"/>
      <c r="V175" s="343"/>
      <c r="W175" s="343"/>
      <c r="X175" s="343" t="s">
        <v>269</v>
      </c>
      <c r="Y175" s="343"/>
      <c r="Z175" s="343"/>
      <c r="AA175" s="343"/>
      <c r="AB175" s="343"/>
      <c r="AC175" s="343"/>
      <c r="AD175" s="343"/>
      <c r="AE175" s="343"/>
      <c r="AF175" s="343" t="s">
        <v>270</v>
      </c>
      <c r="AG175" s="343"/>
      <c r="AH175" s="343"/>
      <c r="AI175" s="343"/>
      <c r="AJ175" s="343"/>
      <c r="AK175" s="343"/>
      <c r="AL175" s="343"/>
      <c r="AM175" s="343"/>
      <c r="AN175" s="343" t="s">
        <v>271</v>
      </c>
      <c r="AO175" s="343"/>
      <c r="AP175" s="343"/>
      <c r="AQ175" s="343"/>
      <c r="AR175" s="343"/>
      <c r="AS175" s="343"/>
      <c r="AT175" s="343"/>
      <c r="AU175" s="343"/>
      <c r="AV175" s="343" t="s">
        <v>272</v>
      </c>
      <c r="AW175" s="343"/>
      <c r="AX175" s="343"/>
      <c r="AY175" s="343"/>
      <c r="AZ175" s="343"/>
      <c r="BA175" s="343"/>
      <c r="BB175" s="343"/>
      <c r="BC175" s="343"/>
      <c r="BD175" s="343" t="s">
        <v>62</v>
      </c>
      <c r="BE175" s="343"/>
      <c r="BF175" s="343"/>
      <c r="BG175" s="343"/>
      <c r="BH175" s="343"/>
      <c r="BI175" s="343"/>
      <c r="BJ175" s="343"/>
      <c r="BK175" s="343"/>
      <c r="BL175" s="174"/>
      <c r="BN175" s="177"/>
      <c r="BO175" s="177"/>
      <c r="BP175" s="177"/>
      <c r="BQ175" s="177"/>
      <c r="BR175" s="177"/>
      <c r="BS175" s="177"/>
      <c r="BT175" s="177"/>
      <c r="BU175" s="177"/>
      <c r="BV175" s="177"/>
      <c r="BW175" s="177"/>
      <c r="BX175" s="177"/>
      <c r="BY175" s="177"/>
      <c r="BZ175" s="177"/>
      <c r="CA175" s="177"/>
      <c r="CB175" s="177"/>
      <c r="CC175" s="177"/>
      <c r="CD175" s="177"/>
      <c r="CE175" s="177"/>
      <c r="CF175" s="177"/>
      <c r="CG175" s="177"/>
      <c r="CH175" s="177"/>
      <c r="CI175" s="177"/>
      <c r="CJ175" s="177"/>
      <c r="CK175" s="177"/>
      <c r="CL175" s="177"/>
      <c r="CM175" s="177"/>
      <c r="CN175" s="177"/>
      <c r="CO175" s="177"/>
      <c r="CP175" s="177"/>
      <c r="CQ175" s="87"/>
      <c r="CR175" s="87"/>
      <c r="CS175" s="87"/>
      <c r="CT175" s="87"/>
      <c r="CU175" s="87"/>
      <c r="CV175" s="87"/>
      <c r="CW175" s="87"/>
    </row>
    <row r="176" spans="1:101" s="176" customFormat="1" outlineLevel="1">
      <c r="A176" s="174"/>
      <c r="B176" s="391">
        <v>1</v>
      </c>
      <c r="C176" s="392"/>
      <c r="D176" s="393">
        <f>AW5</f>
        <v>7112811.7300000004</v>
      </c>
      <c r="E176" s="393"/>
      <c r="F176" s="393"/>
      <c r="G176" s="393"/>
      <c r="H176" s="393"/>
      <c r="I176" s="393"/>
      <c r="J176" s="393"/>
      <c r="K176" s="393"/>
      <c r="L176" s="393"/>
      <c r="M176" s="393"/>
      <c r="N176" s="393"/>
      <c r="O176" s="393"/>
      <c r="P176" s="390" t="s">
        <v>273</v>
      </c>
      <c r="Q176" s="390"/>
      <c r="R176" s="390"/>
      <c r="S176" s="390"/>
      <c r="T176" s="390"/>
      <c r="U176" s="390"/>
      <c r="V176" s="390"/>
      <c r="W176" s="390"/>
      <c r="X176" s="394">
        <v>7.5887499999999997E-2</v>
      </c>
      <c r="Y176" s="394"/>
      <c r="Z176" s="394"/>
      <c r="AA176" s="394"/>
      <c r="AB176" s="394"/>
      <c r="AC176" s="394"/>
      <c r="AD176" s="394"/>
      <c r="AE176" s="394"/>
      <c r="AF176" s="390">
        <f>D176*0.3</f>
        <v>2133843.5189999999</v>
      </c>
      <c r="AG176" s="390"/>
      <c r="AH176" s="390"/>
      <c r="AI176" s="390"/>
      <c r="AJ176" s="390"/>
      <c r="AK176" s="390"/>
      <c r="AL176" s="390"/>
      <c r="AM176" s="390"/>
      <c r="AN176" s="390">
        <f>AF176*0.3</f>
        <v>640153.05569999991</v>
      </c>
      <c r="AO176" s="390"/>
      <c r="AP176" s="390"/>
      <c r="AQ176" s="390"/>
      <c r="AR176" s="390"/>
      <c r="AS176" s="390"/>
      <c r="AT176" s="390"/>
      <c r="AU176" s="390"/>
      <c r="AV176" s="395">
        <v>0.5</v>
      </c>
      <c r="AW176" s="395"/>
      <c r="AX176" s="395"/>
      <c r="AY176" s="395"/>
      <c r="AZ176" s="395"/>
      <c r="BA176" s="395"/>
      <c r="BB176" s="395"/>
      <c r="BC176" s="395"/>
      <c r="BD176" s="390">
        <f>AN176*AV176</f>
        <v>320076.52784999995</v>
      </c>
      <c r="BE176" s="390"/>
      <c r="BF176" s="390"/>
      <c r="BG176" s="390"/>
      <c r="BH176" s="390"/>
      <c r="BI176" s="390"/>
      <c r="BJ176" s="390"/>
      <c r="BK176" s="390"/>
      <c r="BL176" s="174"/>
      <c r="BN176" s="177"/>
      <c r="BO176" s="177"/>
      <c r="BP176" s="177"/>
      <c r="BQ176" s="177"/>
      <c r="BR176" s="177"/>
      <c r="BS176" s="177"/>
      <c r="BT176" s="177"/>
      <c r="BU176" s="177"/>
      <c r="BV176" s="177"/>
      <c r="BW176" s="177"/>
      <c r="BX176" s="177"/>
      <c r="BY176" s="177"/>
      <c r="BZ176" s="177"/>
      <c r="CA176" s="177"/>
      <c r="CB176" s="177"/>
      <c r="CC176" s="177"/>
      <c r="CD176" s="177"/>
      <c r="CE176" s="177"/>
      <c r="CF176" s="177"/>
      <c r="CG176" s="177"/>
      <c r="CH176" s="177"/>
      <c r="CI176" s="177"/>
      <c r="CJ176" s="177"/>
      <c r="CK176" s="177"/>
      <c r="CL176" s="177"/>
      <c r="CM176" s="177"/>
      <c r="CN176" s="177"/>
      <c r="CO176" s="177"/>
      <c r="CP176" s="177"/>
      <c r="CQ176" s="87"/>
      <c r="CR176" s="87"/>
      <c r="CS176" s="87"/>
      <c r="CT176" s="87"/>
      <c r="CU176" s="87"/>
      <c r="CV176" s="87"/>
      <c r="CW176" s="87"/>
    </row>
    <row r="177" spans="1:101" s="176" customFormat="1" ht="6.95" customHeight="1">
      <c r="A177" s="174"/>
      <c r="B177" s="174"/>
      <c r="C177" s="174"/>
      <c r="D177" s="174"/>
      <c r="E177" s="174"/>
      <c r="F177" s="174"/>
      <c r="G177" s="174"/>
      <c r="H177" s="174"/>
      <c r="I177" s="174"/>
      <c r="J177" s="174"/>
      <c r="K177" s="174"/>
      <c r="L177" s="174"/>
      <c r="M177" s="174"/>
      <c r="N177" s="174"/>
      <c r="O177" s="174"/>
      <c r="P177" s="174"/>
      <c r="Q177" s="174"/>
      <c r="R177" s="174"/>
      <c r="S177" s="174"/>
      <c r="T177" s="174"/>
      <c r="U177" s="174"/>
      <c r="V177" s="174"/>
      <c r="W177" s="174"/>
      <c r="X177" s="174"/>
      <c r="Y177" s="174"/>
      <c r="Z177" s="174"/>
      <c r="AA177" s="174"/>
      <c r="AB177" s="174"/>
      <c r="AC177" s="174"/>
      <c r="AD177" s="174"/>
      <c r="AE177" s="174"/>
      <c r="AF177" s="174"/>
      <c r="AG177" s="174"/>
      <c r="AH177" s="174"/>
      <c r="AI177" s="174"/>
      <c r="AJ177" s="174"/>
      <c r="AK177" s="174"/>
      <c r="AL177" s="174"/>
      <c r="AM177" s="174"/>
      <c r="AN177" s="174"/>
      <c r="AO177" s="174"/>
      <c r="AP177" s="174"/>
      <c r="AQ177" s="174"/>
      <c r="AR177" s="174"/>
      <c r="AS177" s="174"/>
      <c r="AT177" s="174"/>
      <c r="AU177" s="174"/>
      <c r="AV177" s="174"/>
      <c r="AW177" s="174"/>
      <c r="AX177" s="174"/>
      <c r="AY177" s="174"/>
      <c r="AZ177" s="174"/>
      <c r="BA177" s="174"/>
      <c r="BB177" s="174"/>
      <c r="BC177" s="174"/>
      <c r="BD177" s="174"/>
      <c r="BE177" s="174"/>
      <c r="BF177" s="174"/>
      <c r="BG177" s="174"/>
      <c r="BH177" s="174"/>
      <c r="BI177" s="174"/>
      <c r="BJ177" s="174"/>
      <c r="BK177" s="174"/>
      <c r="BL177" s="174"/>
      <c r="BN177" s="177"/>
      <c r="BO177" s="177"/>
      <c r="BP177" s="177"/>
      <c r="BQ177" s="177"/>
      <c r="BR177" s="177"/>
      <c r="BS177" s="177"/>
      <c r="BT177" s="177"/>
      <c r="BU177" s="177"/>
      <c r="BV177" s="177"/>
      <c r="BW177" s="177"/>
      <c r="BX177" s="177"/>
      <c r="BY177" s="177"/>
      <c r="BZ177" s="177"/>
      <c r="CA177" s="177"/>
      <c r="CB177" s="177"/>
      <c r="CC177" s="177"/>
      <c r="CD177" s="177"/>
      <c r="CE177" s="177"/>
      <c r="CF177" s="177"/>
      <c r="CG177" s="177"/>
      <c r="CH177" s="177"/>
      <c r="CI177" s="177"/>
      <c r="CJ177" s="177"/>
      <c r="CK177" s="177"/>
      <c r="CL177" s="177"/>
      <c r="CM177" s="177"/>
      <c r="CN177" s="177"/>
      <c r="CO177" s="177"/>
      <c r="CP177" s="177"/>
      <c r="CQ177" s="87"/>
      <c r="CR177" s="87"/>
      <c r="CS177" s="87"/>
      <c r="CT177" s="87"/>
      <c r="CU177" s="87"/>
      <c r="CV177" s="87"/>
      <c r="CW177" s="87"/>
    </row>
    <row r="178" spans="1:101" s="176" customFormat="1">
      <c r="A178" s="174"/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74"/>
      <c r="P178" s="174"/>
      <c r="Q178" s="174"/>
      <c r="R178" s="174"/>
      <c r="S178" s="174"/>
      <c r="T178" s="174"/>
      <c r="U178" s="174"/>
      <c r="V178" s="174"/>
      <c r="W178" s="174"/>
      <c r="X178" s="174"/>
      <c r="Y178" s="174"/>
      <c r="Z178" s="174"/>
      <c r="AA178" s="174"/>
      <c r="AB178" s="383" t="s">
        <v>178</v>
      </c>
      <c r="AC178" s="383"/>
      <c r="AD178" s="383"/>
      <c r="AE178" s="384" t="str">
        <f>B173</f>
        <v>5. Cierre de Obra ante el I.M.S.S.</v>
      </c>
      <c r="AF178" s="384"/>
      <c r="AG178" s="384"/>
      <c r="AH178" s="384"/>
      <c r="AI178" s="384"/>
      <c r="AJ178" s="384"/>
      <c r="AK178" s="384"/>
      <c r="AL178" s="384"/>
      <c r="AM178" s="384"/>
      <c r="AN178" s="384"/>
      <c r="AO178" s="384"/>
      <c r="AP178" s="384"/>
      <c r="AQ178" s="384"/>
      <c r="AR178" s="384"/>
      <c r="AS178" s="384"/>
      <c r="AT178" s="384"/>
      <c r="AU178" s="384"/>
      <c r="AV178" s="385">
        <f>BD176</f>
        <v>320076.52784999995</v>
      </c>
      <c r="AW178" s="385"/>
      <c r="AX178" s="385"/>
      <c r="AY178" s="385"/>
      <c r="AZ178" s="385"/>
      <c r="BA178" s="385"/>
      <c r="BB178" s="385"/>
      <c r="BC178" s="385"/>
      <c r="BD178" s="386">
        <f>AV178/$AW$215</f>
        <v>3.5421106444140309E-2</v>
      </c>
      <c r="BE178" s="386"/>
      <c r="BF178" s="386"/>
      <c r="BG178" s="386"/>
      <c r="BH178" s="386"/>
      <c r="BI178" s="387" t="s">
        <v>179</v>
      </c>
      <c r="BJ178" s="387"/>
      <c r="BK178" s="387"/>
      <c r="BL178" s="174"/>
      <c r="BN178" s="177"/>
      <c r="BO178" s="177"/>
      <c r="BP178" s="177"/>
      <c r="BQ178" s="177"/>
      <c r="BR178" s="177"/>
      <c r="BS178" s="177"/>
      <c r="BT178" s="177"/>
      <c r="BU178" s="177"/>
      <c r="BV178" s="177"/>
      <c r="BW178" s="177"/>
      <c r="BX178" s="177"/>
      <c r="BY178" s="177"/>
      <c r="BZ178" s="177"/>
      <c r="CA178" s="177"/>
      <c r="CB178" s="177"/>
      <c r="CC178" s="177"/>
      <c r="CD178" s="177"/>
      <c r="CE178" s="177"/>
      <c r="CF178" s="177"/>
      <c r="CG178" s="177"/>
      <c r="CH178" s="177"/>
      <c r="CI178" s="177"/>
      <c r="CJ178" s="177"/>
      <c r="CK178" s="177"/>
      <c r="CL178" s="177"/>
      <c r="CM178" s="177"/>
      <c r="CN178" s="177"/>
      <c r="CO178" s="177"/>
      <c r="CP178" s="177"/>
      <c r="CQ178" s="87"/>
      <c r="CR178" s="87"/>
      <c r="CS178" s="87"/>
      <c r="CT178" s="87"/>
      <c r="CU178" s="87"/>
      <c r="CV178" s="87"/>
      <c r="CW178" s="87"/>
    </row>
    <row r="179" spans="1:101" ht="6.95" customHeight="1"/>
    <row r="180" spans="1:101">
      <c r="B180" s="185" t="s">
        <v>274</v>
      </c>
    </row>
    <row r="181" spans="1:101" ht="6.95" customHeight="1" outlineLevel="1"/>
    <row r="182" spans="1:101" outlineLevel="1">
      <c r="C182" s="378" t="s">
        <v>153</v>
      </c>
      <c r="D182" s="379"/>
      <c r="E182" s="343" t="s">
        <v>21</v>
      </c>
      <c r="F182" s="343"/>
      <c r="G182" s="343"/>
      <c r="H182" s="343"/>
      <c r="I182" s="343"/>
      <c r="J182" s="343"/>
      <c r="K182" s="343"/>
      <c r="L182" s="343"/>
      <c r="M182" s="343"/>
      <c r="N182" s="343"/>
      <c r="O182" s="343"/>
      <c r="P182" s="343"/>
      <c r="Q182" s="343" t="s">
        <v>275</v>
      </c>
      <c r="R182" s="343"/>
      <c r="S182" s="343"/>
      <c r="T182" s="343"/>
      <c r="U182" s="343"/>
      <c r="V182" s="343"/>
      <c r="W182" s="343"/>
      <c r="X182" s="343"/>
      <c r="Y182" s="343" t="s">
        <v>276</v>
      </c>
      <c r="Z182" s="343"/>
      <c r="AA182" s="343"/>
      <c r="AB182" s="343"/>
      <c r="AC182" s="343"/>
      <c r="AD182" s="343"/>
      <c r="AE182" s="343"/>
      <c r="AF182" s="343"/>
      <c r="AG182" s="343" t="s">
        <v>277</v>
      </c>
      <c r="AH182" s="343"/>
      <c r="AI182" s="343"/>
      <c r="AJ182" s="343"/>
      <c r="AK182" s="343"/>
      <c r="AL182" s="343"/>
      <c r="AM182" s="343"/>
      <c r="AN182" s="343"/>
      <c r="AO182" s="343" t="s">
        <v>278</v>
      </c>
      <c r="AP182" s="343"/>
      <c r="AQ182" s="343"/>
      <c r="AR182" s="343"/>
      <c r="AS182" s="343"/>
      <c r="AT182" s="343"/>
      <c r="AU182" s="343"/>
      <c r="AV182" s="343"/>
      <c r="AW182" s="343" t="s">
        <v>279</v>
      </c>
      <c r="AX182" s="343"/>
      <c r="AY182" s="343"/>
      <c r="AZ182" s="343"/>
      <c r="BA182" s="343"/>
      <c r="BB182" s="343"/>
      <c r="BC182" s="343"/>
      <c r="BD182" s="343"/>
      <c r="BE182" s="343" t="s">
        <v>62</v>
      </c>
      <c r="BF182" s="343"/>
      <c r="BG182" s="343"/>
      <c r="BH182" s="343"/>
      <c r="BI182" s="343"/>
      <c r="BJ182" s="343"/>
      <c r="BK182" s="343"/>
      <c r="BL182" s="343"/>
    </row>
    <row r="183" spans="1:101" outlineLevel="1">
      <c r="C183" s="352">
        <v>1</v>
      </c>
      <c r="D183" s="353"/>
      <c r="E183" s="388" t="s">
        <v>280</v>
      </c>
      <c r="F183" s="388"/>
      <c r="G183" s="388"/>
      <c r="H183" s="388"/>
      <c r="I183" s="388"/>
      <c r="J183" s="388"/>
      <c r="K183" s="388"/>
      <c r="L183" s="388"/>
      <c r="M183" s="388"/>
      <c r="N183" s="388"/>
      <c r="O183" s="388"/>
      <c r="P183" s="388"/>
      <c r="Q183" s="382">
        <f>AW5+AV150+AV157+AV164+AV171+AV178</f>
        <v>8955053.6364070009</v>
      </c>
      <c r="R183" s="382"/>
      <c r="S183" s="382"/>
      <c r="T183" s="382"/>
      <c r="U183" s="382"/>
      <c r="V183" s="382"/>
      <c r="W183" s="382"/>
      <c r="X183" s="382"/>
      <c r="Y183" s="389">
        <v>0.3</v>
      </c>
      <c r="Z183" s="389"/>
      <c r="AA183" s="389"/>
      <c r="AB183" s="389"/>
      <c r="AC183" s="389"/>
      <c r="AD183" s="389"/>
      <c r="AE183" s="389"/>
      <c r="AF183" s="389"/>
      <c r="AG183" s="382">
        <f t="shared" ref="AG183:AG192" si="9">Q183*Y183</f>
        <v>2686516.0909221</v>
      </c>
      <c r="AH183" s="382"/>
      <c r="AI183" s="382"/>
      <c r="AJ183" s="382"/>
      <c r="AK183" s="382"/>
      <c r="AL183" s="382"/>
      <c r="AM183" s="382"/>
      <c r="AN183" s="382"/>
      <c r="AO183" s="381">
        <v>1.2E-2</v>
      </c>
      <c r="AP183" s="381"/>
      <c r="AQ183" s="381"/>
      <c r="AR183" s="381"/>
      <c r="AS183" s="381"/>
      <c r="AT183" s="381"/>
      <c r="AU183" s="381"/>
      <c r="AV183" s="381"/>
      <c r="AW183" s="381">
        <v>9.5030748073758598E-4</v>
      </c>
      <c r="AX183" s="381"/>
      <c r="AY183" s="381"/>
      <c r="AZ183" s="381"/>
      <c r="BA183" s="381"/>
      <c r="BB183" s="381"/>
      <c r="BC183" s="381"/>
      <c r="BD183" s="381"/>
      <c r="BE183" s="382">
        <f t="shared" ref="BE183:BE192" si="10">(AG183*(AO183+AW183))</f>
        <v>34791.209429390372</v>
      </c>
      <c r="BF183" s="382"/>
      <c r="BG183" s="382"/>
      <c r="BH183" s="382"/>
      <c r="BI183" s="382"/>
      <c r="BJ183" s="382"/>
      <c r="BK183" s="382"/>
      <c r="BL183" s="382"/>
    </row>
    <row r="184" spans="1:101" outlineLevel="1">
      <c r="C184" s="352">
        <v>2</v>
      </c>
      <c r="D184" s="353"/>
      <c r="E184" s="388" t="s">
        <v>281</v>
      </c>
      <c r="F184" s="388"/>
      <c r="G184" s="388"/>
      <c r="H184" s="388"/>
      <c r="I184" s="388"/>
      <c r="J184" s="388"/>
      <c r="K184" s="388"/>
      <c r="L184" s="388"/>
      <c r="M184" s="388"/>
      <c r="N184" s="388"/>
      <c r="O184" s="388"/>
      <c r="P184" s="388"/>
      <c r="Q184" s="382">
        <f>Q183</f>
        <v>8955053.6364070009</v>
      </c>
      <c r="R184" s="382"/>
      <c r="S184" s="382"/>
      <c r="T184" s="382"/>
      <c r="U184" s="382"/>
      <c r="V184" s="382"/>
      <c r="W184" s="382"/>
      <c r="X184" s="382"/>
      <c r="Y184" s="389">
        <v>0.1</v>
      </c>
      <c r="Z184" s="389"/>
      <c r="AA184" s="389"/>
      <c r="AB184" s="389"/>
      <c r="AC184" s="389"/>
      <c r="AD184" s="389"/>
      <c r="AE184" s="389"/>
      <c r="AF184" s="389"/>
      <c r="AG184" s="382">
        <f t="shared" si="9"/>
        <v>895505.36364070012</v>
      </c>
      <c r="AH184" s="382"/>
      <c r="AI184" s="382"/>
      <c r="AJ184" s="382"/>
      <c r="AK184" s="382"/>
      <c r="AL184" s="382"/>
      <c r="AM184" s="382"/>
      <c r="AN184" s="382"/>
      <c r="AO184" s="381">
        <v>1.2E-2</v>
      </c>
      <c r="AP184" s="381"/>
      <c r="AQ184" s="381"/>
      <c r="AR184" s="381"/>
      <c r="AS184" s="381"/>
      <c r="AT184" s="381"/>
      <c r="AU184" s="381"/>
      <c r="AV184" s="381"/>
      <c r="AW184" s="381">
        <v>9.5030748073758598E-4</v>
      </c>
      <c r="AX184" s="381"/>
      <c r="AY184" s="381"/>
      <c r="AZ184" s="381"/>
      <c r="BA184" s="381"/>
      <c r="BB184" s="381"/>
      <c r="BC184" s="381"/>
      <c r="BD184" s="381"/>
      <c r="BE184" s="382">
        <f t="shared" si="10"/>
        <v>11597.069809796791</v>
      </c>
      <c r="BF184" s="382"/>
      <c r="BG184" s="382"/>
      <c r="BH184" s="382"/>
      <c r="BI184" s="382"/>
      <c r="BJ184" s="382"/>
      <c r="BK184" s="382"/>
      <c r="BL184" s="382"/>
    </row>
    <row r="185" spans="1:101" outlineLevel="1">
      <c r="C185" s="352">
        <v>3</v>
      </c>
      <c r="D185" s="353"/>
      <c r="E185" s="388" t="s">
        <v>282</v>
      </c>
      <c r="F185" s="388"/>
      <c r="G185" s="388"/>
      <c r="H185" s="388"/>
      <c r="I185" s="388"/>
      <c r="J185" s="388"/>
      <c r="K185" s="388"/>
      <c r="L185" s="388"/>
      <c r="M185" s="388"/>
      <c r="N185" s="388"/>
      <c r="O185" s="388"/>
      <c r="P185" s="388"/>
      <c r="Q185" s="382">
        <f t="shared" ref="Q185:Q192" si="11">Q184</f>
        <v>8955053.6364070009</v>
      </c>
      <c r="R185" s="382"/>
      <c r="S185" s="382"/>
      <c r="T185" s="382"/>
      <c r="U185" s="382"/>
      <c r="V185" s="382"/>
      <c r="W185" s="382"/>
      <c r="X185" s="382"/>
      <c r="Y185" s="389">
        <v>0</v>
      </c>
      <c r="Z185" s="389"/>
      <c r="AA185" s="389"/>
      <c r="AB185" s="389"/>
      <c r="AC185" s="389"/>
      <c r="AD185" s="389"/>
      <c r="AE185" s="389"/>
      <c r="AF185" s="389"/>
      <c r="AG185" s="382">
        <f t="shared" si="9"/>
        <v>0</v>
      </c>
      <c r="AH185" s="382"/>
      <c r="AI185" s="382"/>
      <c r="AJ185" s="382"/>
      <c r="AK185" s="382"/>
      <c r="AL185" s="382"/>
      <c r="AM185" s="382"/>
      <c r="AN185" s="382"/>
      <c r="AO185" s="381">
        <v>1.2E-2</v>
      </c>
      <c r="AP185" s="381"/>
      <c r="AQ185" s="381"/>
      <c r="AR185" s="381"/>
      <c r="AS185" s="381"/>
      <c r="AT185" s="381"/>
      <c r="AU185" s="381"/>
      <c r="AV185" s="381"/>
      <c r="AW185" s="381">
        <v>9.5030748073758598E-4</v>
      </c>
      <c r="AX185" s="381"/>
      <c r="AY185" s="381"/>
      <c r="AZ185" s="381"/>
      <c r="BA185" s="381"/>
      <c r="BB185" s="381"/>
      <c r="BC185" s="381"/>
      <c r="BD185" s="381"/>
      <c r="BE185" s="382">
        <f t="shared" si="10"/>
        <v>0</v>
      </c>
      <c r="BF185" s="382"/>
      <c r="BG185" s="382"/>
      <c r="BH185" s="382"/>
      <c r="BI185" s="382"/>
      <c r="BJ185" s="382"/>
      <c r="BK185" s="382"/>
      <c r="BL185" s="382"/>
    </row>
    <row r="186" spans="1:101" outlineLevel="1">
      <c r="C186" s="352">
        <v>4</v>
      </c>
      <c r="D186" s="353"/>
      <c r="E186" s="388" t="s">
        <v>283</v>
      </c>
      <c r="F186" s="388"/>
      <c r="G186" s="388"/>
      <c r="H186" s="388"/>
      <c r="I186" s="388"/>
      <c r="J186" s="388"/>
      <c r="K186" s="388"/>
      <c r="L186" s="388"/>
      <c r="M186" s="388"/>
      <c r="N186" s="388"/>
      <c r="O186" s="388"/>
      <c r="P186" s="388"/>
      <c r="Q186" s="382">
        <f t="shared" si="11"/>
        <v>8955053.6364070009</v>
      </c>
      <c r="R186" s="382"/>
      <c r="S186" s="382"/>
      <c r="T186" s="382"/>
      <c r="U186" s="382"/>
      <c r="V186" s="382"/>
      <c r="W186" s="382"/>
      <c r="X186" s="382"/>
      <c r="Y186" s="389">
        <v>0.1</v>
      </c>
      <c r="Z186" s="389"/>
      <c r="AA186" s="389"/>
      <c r="AB186" s="389"/>
      <c r="AC186" s="389"/>
      <c r="AD186" s="389"/>
      <c r="AE186" s="389"/>
      <c r="AF186" s="389"/>
      <c r="AG186" s="382">
        <f t="shared" si="9"/>
        <v>895505.36364070012</v>
      </c>
      <c r="AH186" s="382"/>
      <c r="AI186" s="382"/>
      <c r="AJ186" s="382"/>
      <c r="AK186" s="382"/>
      <c r="AL186" s="382"/>
      <c r="AM186" s="382"/>
      <c r="AN186" s="382"/>
      <c r="AO186" s="381">
        <v>1.2E-2</v>
      </c>
      <c r="AP186" s="381"/>
      <c r="AQ186" s="381"/>
      <c r="AR186" s="381"/>
      <c r="AS186" s="381"/>
      <c r="AT186" s="381"/>
      <c r="AU186" s="381"/>
      <c r="AV186" s="381"/>
      <c r="AW186" s="381">
        <v>9.5030748073758598E-4</v>
      </c>
      <c r="AX186" s="381"/>
      <c r="AY186" s="381"/>
      <c r="AZ186" s="381"/>
      <c r="BA186" s="381"/>
      <c r="BB186" s="381"/>
      <c r="BC186" s="381"/>
      <c r="BD186" s="381"/>
      <c r="BE186" s="382">
        <f t="shared" si="10"/>
        <v>11597.069809796791</v>
      </c>
      <c r="BF186" s="382"/>
      <c r="BG186" s="382"/>
      <c r="BH186" s="382"/>
      <c r="BI186" s="382"/>
      <c r="BJ186" s="382"/>
      <c r="BK186" s="382"/>
      <c r="BL186" s="382"/>
    </row>
    <row r="187" spans="1:101" outlineLevel="1">
      <c r="C187" s="352">
        <v>5</v>
      </c>
      <c r="D187" s="353"/>
      <c r="E187" s="388" t="s">
        <v>284</v>
      </c>
      <c r="F187" s="388"/>
      <c r="G187" s="388"/>
      <c r="H187" s="388"/>
      <c r="I187" s="388"/>
      <c r="J187" s="388"/>
      <c r="K187" s="388"/>
      <c r="L187" s="388"/>
      <c r="M187" s="388"/>
      <c r="N187" s="388"/>
      <c r="O187" s="388"/>
      <c r="P187" s="388"/>
      <c r="Q187" s="382">
        <f t="shared" si="11"/>
        <v>8955053.6364070009</v>
      </c>
      <c r="R187" s="382"/>
      <c r="S187" s="382"/>
      <c r="T187" s="382"/>
      <c r="U187" s="382"/>
      <c r="V187" s="382"/>
      <c r="W187" s="382"/>
      <c r="X187" s="382"/>
      <c r="Y187" s="389">
        <v>0</v>
      </c>
      <c r="Z187" s="389"/>
      <c r="AA187" s="389"/>
      <c r="AB187" s="389"/>
      <c r="AC187" s="389"/>
      <c r="AD187" s="389"/>
      <c r="AE187" s="389"/>
      <c r="AF187" s="389"/>
      <c r="AG187" s="382">
        <f t="shared" si="9"/>
        <v>0</v>
      </c>
      <c r="AH187" s="382"/>
      <c r="AI187" s="382"/>
      <c r="AJ187" s="382"/>
      <c r="AK187" s="382"/>
      <c r="AL187" s="382"/>
      <c r="AM187" s="382"/>
      <c r="AN187" s="382"/>
      <c r="AO187" s="381">
        <v>1.2E-2</v>
      </c>
      <c r="AP187" s="381"/>
      <c r="AQ187" s="381"/>
      <c r="AR187" s="381"/>
      <c r="AS187" s="381"/>
      <c r="AT187" s="381"/>
      <c r="AU187" s="381"/>
      <c r="AV187" s="381"/>
      <c r="AW187" s="381">
        <v>9.5030748073758598E-4</v>
      </c>
      <c r="AX187" s="381"/>
      <c r="AY187" s="381"/>
      <c r="AZ187" s="381"/>
      <c r="BA187" s="381"/>
      <c r="BB187" s="381"/>
      <c r="BC187" s="381"/>
      <c r="BD187" s="381"/>
      <c r="BE187" s="382">
        <f t="shared" si="10"/>
        <v>0</v>
      </c>
      <c r="BF187" s="382"/>
      <c r="BG187" s="382"/>
      <c r="BH187" s="382"/>
      <c r="BI187" s="382"/>
      <c r="BJ187" s="382"/>
      <c r="BK187" s="382"/>
      <c r="BL187" s="382"/>
    </row>
    <row r="188" spans="1:101" outlineLevel="1">
      <c r="C188" s="352">
        <v>6</v>
      </c>
      <c r="D188" s="353"/>
      <c r="E188" s="388" t="s">
        <v>285</v>
      </c>
      <c r="F188" s="388"/>
      <c r="G188" s="388"/>
      <c r="H188" s="388"/>
      <c r="I188" s="388"/>
      <c r="J188" s="388"/>
      <c r="K188" s="388"/>
      <c r="L188" s="388"/>
      <c r="M188" s="388"/>
      <c r="N188" s="388"/>
      <c r="O188" s="388"/>
      <c r="P188" s="388"/>
      <c r="Q188" s="382">
        <f t="shared" si="11"/>
        <v>8955053.6364070009</v>
      </c>
      <c r="R188" s="382"/>
      <c r="S188" s="382"/>
      <c r="T188" s="382"/>
      <c r="U188" s="382"/>
      <c r="V188" s="382"/>
      <c r="W188" s="382"/>
      <c r="X188" s="382"/>
      <c r="Y188" s="389">
        <v>0</v>
      </c>
      <c r="Z188" s="389"/>
      <c r="AA188" s="389"/>
      <c r="AB188" s="389"/>
      <c r="AC188" s="389"/>
      <c r="AD188" s="389"/>
      <c r="AE188" s="389"/>
      <c r="AF188" s="389"/>
      <c r="AG188" s="382">
        <f t="shared" si="9"/>
        <v>0</v>
      </c>
      <c r="AH188" s="382"/>
      <c r="AI188" s="382"/>
      <c r="AJ188" s="382"/>
      <c r="AK188" s="382"/>
      <c r="AL188" s="382"/>
      <c r="AM188" s="382"/>
      <c r="AN188" s="382"/>
      <c r="AO188" s="381">
        <v>1.9E-2</v>
      </c>
      <c r="AP188" s="381"/>
      <c r="AQ188" s="381"/>
      <c r="AR188" s="381"/>
      <c r="AS188" s="381"/>
      <c r="AT188" s="381"/>
      <c r="AU188" s="381"/>
      <c r="AV188" s="381"/>
      <c r="AW188" s="381">
        <v>1E-3</v>
      </c>
      <c r="AX188" s="381"/>
      <c r="AY188" s="381"/>
      <c r="AZ188" s="381"/>
      <c r="BA188" s="381"/>
      <c r="BB188" s="381"/>
      <c r="BC188" s="381"/>
      <c r="BD188" s="381"/>
      <c r="BE188" s="382">
        <f t="shared" si="10"/>
        <v>0</v>
      </c>
      <c r="BF188" s="382"/>
      <c r="BG188" s="382"/>
      <c r="BH188" s="382"/>
      <c r="BI188" s="382"/>
      <c r="BJ188" s="382"/>
      <c r="BK188" s="382"/>
      <c r="BL188" s="382"/>
    </row>
    <row r="189" spans="1:101" outlineLevel="1">
      <c r="C189" s="352">
        <v>7</v>
      </c>
      <c r="D189" s="353"/>
      <c r="E189" s="388" t="s">
        <v>286</v>
      </c>
      <c r="F189" s="388"/>
      <c r="G189" s="388"/>
      <c r="H189" s="388"/>
      <c r="I189" s="388"/>
      <c r="J189" s="388"/>
      <c r="K189" s="388"/>
      <c r="L189" s="388"/>
      <c r="M189" s="388"/>
      <c r="N189" s="388"/>
      <c r="O189" s="388"/>
      <c r="P189" s="388"/>
      <c r="Q189" s="382">
        <f t="shared" si="11"/>
        <v>8955053.6364070009</v>
      </c>
      <c r="R189" s="382"/>
      <c r="S189" s="382"/>
      <c r="T189" s="382"/>
      <c r="U189" s="382"/>
      <c r="V189" s="382"/>
      <c r="W189" s="382"/>
      <c r="X189" s="382"/>
      <c r="Y189" s="389">
        <v>0.1</v>
      </c>
      <c r="Z189" s="389"/>
      <c r="AA189" s="389"/>
      <c r="AB189" s="389"/>
      <c r="AC189" s="389"/>
      <c r="AD189" s="389"/>
      <c r="AE189" s="389"/>
      <c r="AF189" s="389"/>
      <c r="AG189" s="382">
        <f t="shared" si="9"/>
        <v>895505.36364070012</v>
      </c>
      <c r="AH189" s="382"/>
      <c r="AI189" s="382"/>
      <c r="AJ189" s="382"/>
      <c r="AK189" s="382"/>
      <c r="AL189" s="382"/>
      <c r="AM189" s="382"/>
      <c r="AN189" s="382"/>
      <c r="AO189" s="381">
        <v>2.5000000000000001E-2</v>
      </c>
      <c r="AP189" s="381"/>
      <c r="AQ189" s="381"/>
      <c r="AR189" s="381"/>
      <c r="AS189" s="381"/>
      <c r="AT189" s="381"/>
      <c r="AU189" s="381"/>
      <c r="AV189" s="381"/>
      <c r="AW189" s="381">
        <v>1E-3</v>
      </c>
      <c r="AX189" s="381"/>
      <c r="AY189" s="381"/>
      <c r="AZ189" s="381"/>
      <c r="BA189" s="381"/>
      <c r="BB189" s="381"/>
      <c r="BC189" s="381"/>
      <c r="BD189" s="381"/>
      <c r="BE189" s="382">
        <f t="shared" si="10"/>
        <v>23283.139454658205</v>
      </c>
      <c r="BF189" s="382"/>
      <c r="BG189" s="382"/>
      <c r="BH189" s="382"/>
      <c r="BI189" s="382"/>
      <c r="BJ189" s="382"/>
      <c r="BK189" s="382"/>
      <c r="BL189" s="382"/>
    </row>
    <row r="190" spans="1:101" outlineLevel="1">
      <c r="C190" s="352">
        <v>8</v>
      </c>
      <c r="D190" s="353"/>
      <c r="E190" s="388" t="s">
        <v>287</v>
      </c>
      <c r="F190" s="388"/>
      <c r="G190" s="388"/>
      <c r="H190" s="388"/>
      <c r="I190" s="388"/>
      <c r="J190" s="388"/>
      <c r="K190" s="388"/>
      <c r="L190" s="388"/>
      <c r="M190" s="388"/>
      <c r="N190" s="388"/>
      <c r="O190" s="388"/>
      <c r="P190" s="388"/>
      <c r="Q190" s="382">
        <f t="shared" si="11"/>
        <v>8955053.6364070009</v>
      </c>
      <c r="R190" s="382"/>
      <c r="S190" s="382"/>
      <c r="T190" s="382"/>
      <c r="U190" s="382"/>
      <c r="V190" s="382"/>
      <c r="W190" s="382"/>
      <c r="X190" s="382"/>
      <c r="Y190" s="389">
        <v>0</v>
      </c>
      <c r="Z190" s="389"/>
      <c r="AA190" s="389"/>
      <c r="AB190" s="389"/>
      <c r="AC190" s="389"/>
      <c r="AD190" s="389"/>
      <c r="AE190" s="389"/>
      <c r="AF190" s="389"/>
      <c r="AG190" s="382">
        <f t="shared" si="9"/>
        <v>0</v>
      </c>
      <c r="AH190" s="382"/>
      <c r="AI190" s="382"/>
      <c r="AJ190" s="382"/>
      <c r="AK190" s="382"/>
      <c r="AL190" s="382"/>
      <c r="AM190" s="382"/>
      <c r="AN190" s="382"/>
      <c r="AO190" s="381">
        <v>1.9E-2</v>
      </c>
      <c r="AP190" s="381"/>
      <c r="AQ190" s="381"/>
      <c r="AR190" s="381"/>
      <c r="AS190" s="381"/>
      <c r="AT190" s="381"/>
      <c r="AU190" s="381"/>
      <c r="AV190" s="381"/>
      <c r="AW190" s="381">
        <v>1E-3</v>
      </c>
      <c r="AX190" s="381"/>
      <c r="AY190" s="381"/>
      <c r="AZ190" s="381"/>
      <c r="BA190" s="381"/>
      <c r="BB190" s="381"/>
      <c r="BC190" s="381"/>
      <c r="BD190" s="381"/>
      <c r="BE190" s="382">
        <f t="shared" si="10"/>
        <v>0</v>
      </c>
      <c r="BF190" s="382"/>
      <c r="BG190" s="382"/>
      <c r="BH190" s="382"/>
      <c r="BI190" s="382"/>
      <c r="BJ190" s="382"/>
      <c r="BK190" s="382"/>
      <c r="BL190" s="382"/>
    </row>
    <row r="191" spans="1:101" outlineLevel="1">
      <c r="C191" s="352">
        <v>9</v>
      </c>
      <c r="D191" s="353"/>
      <c r="E191" s="388" t="s">
        <v>288</v>
      </c>
      <c r="F191" s="388"/>
      <c r="G191" s="388"/>
      <c r="H191" s="388"/>
      <c r="I191" s="388"/>
      <c r="J191" s="388"/>
      <c r="K191" s="388"/>
      <c r="L191" s="388"/>
      <c r="M191" s="388"/>
      <c r="N191" s="388"/>
      <c r="O191" s="388"/>
      <c r="P191" s="388"/>
      <c r="Q191" s="382">
        <f t="shared" si="11"/>
        <v>8955053.6364070009</v>
      </c>
      <c r="R191" s="382"/>
      <c r="S191" s="382"/>
      <c r="T191" s="382"/>
      <c r="U191" s="382"/>
      <c r="V191" s="382"/>
      <c r="W191" s="382"/>
      <c r="X191" s="382"/>
      <c r="Y191" s="389">
        <v>0</v>
      </c>
      <c r="Z191" s="389"/>
      <c r="AA191" s="389"/>
      <c r="AB191" s="389"/>
      <c r="AC191" s="389"/>
      <c r="AD191" s="389"/>
      <c r="AE191" s="389"/>
      <c r="AF191" s="389"/>
      <c r="AG191" s="382">
        <f t="shared" si="9"/>
        <v>0</v>
      </c>
      <c r="AH191" s="382"/>
      <c r="AI191" s="382"/>
      <c r="AJ191" s="382"/>
      <c r="AK191" s="382"/>
      <c r="AL191" s="382"/>
      <c r="AM191" s="382"/>
      <c r="AN191" s="382"/>
      <c r="AO191" s="381">
        <v>1.9E-2</v>
      </c>
      <c r="AP191" s="381"/>
      <c r="AQ191" s="381"/>
      <c r="AR191" s="381"/>
      <c r="AS191" s="381"/>
      <c r="AT191" s="381"/>
      <c r="AU191" s="381"/>
      <c r="AV191" s="381"/>
      <c r="AW191" s="381">
        <v>1E-3</v>
      </c>
      <c r="AX191" s="381"/>
      <c r="AY191" s="381"/>
      <c r="AZ191" s="381"/>
      <c r="BA191" s="381"/>
      <c r="BB191" s="381"/>
      <c r="BC191" s="381"/>
      <c r="BD191" s="381"/>
      <c r="BE191" s="382">
        <f t="shared" si="10"/>
        <v>0</v>
      </c>
      <c r="BF191" s="382"/>
      <c r="BG191" s="382"/>
      <c r="BH191" s="382"/>
      <c r="BI191" s="382"/>
      <c r="BJ191" s="382"/>
      <c r="BK191" s="382"/>
      <c r="BL191" s="382"/>
    </row>
    <row r="192" spans="1:101" outlineLevel="1">
      <c r="C192" s="352">
        <v>10</v>
      </c>
      <c r="D192" s="353"/>
      <c r="E192" s="388" t="s">
        <v>289</v>
      </c>
      <c r="F192" s="388"/>
      <c r="G192" s="388"/>
      <c r="H192" s="388"/>
      <c r="I192" s="388"/>
      <c r="J192" s="388"/>
      <c r="K192" s="388"/>
      <c r="L192" s="388"/>
      <c r="M192" s="388"/>
      <c r="N192" s="388"/>
      <c r="O192" s="388"/>
      <c r="P192" s="388"/>
      <c r="Q192" s="382">
        <f t="shared" si="11"/>
        <v>8955053.6364070009</v>
      </c>
      <c r="R192" s="382"/>
      <c r="S192" s="382"/>
      <c r="T192" s="382"/>
      <c r="U192" s="382"/>
      <c r="V192" s="382"/>
      <c r="W192" s="382"/>
      <c r="X192" s="382"/>
      <c r="Y192" s="389">
        <v>0</v>
      </c>
      <c r="Z192" s="389"/>
      <c r="AA192" s="389"/>
      <c r="AB192" s="389"/>
      <c r="AC192" s="389"/>
      <c r="AD192" s="389"/>
      <c r="AE192" s="389"/>
      <c r="AF192" s="389"/>
      <c r="AG192" s="382">
        <f t="shared" si="9"/>
        <v>0</v>
      </c>
      <c r="AH192" s="382"/>
      <c r="AI192" s="382"/>
      <c r="AJ192" s="382"/>
      <c r="AK192" s="382"/>
      <c r="AL192" s="382"/>
      <c r="AM192" s="382"/>
      <c r="AN192" s="382"/>
      <c r="AO192" s="381">
        <v>1.9E-2</v>
      </c>
      <c r="AP192" s="381"/>
      <c r="AQ192" s="381"/>
      <c r="AR192" s="381"/>
      <c r="AS192" s="381"/>
      <c r="AT192" s="381"/>
      <c r="AU192" s="381"/>
      <c r="AV192" s="381"/>
      <c r="AW192" s="381">
        <v>1E-3</v>
      </c>
      <c r="AX192" s="381"/>
      <c r="AY192" s="381"/>
      <c r="AZ192" s="381"/>
      <c r="BA192" s="381"/>
      <c r="BB192" s="381"/>
      <c r="BC192" s="381"/>
      <c r="BD192" s="381"/>
      <c r="BE192" s="382">
        <f t="shared" si="10"/>
        <v>0</v>
      </c>
      <c r="BF192" s="382"/>
      <c r="BG192" s="382"/>
      <c r="BH192" s="382"/>
      <c r="BI192" s="382"/>
      <c r="BJ192" s="382"/>
      <c r="BK192" s="382"/>
      <c r="BL192" s="382"/>
    </row>
    <row r="193" spans="2:103" ht="6.95" customHeight="1"/>
    <row r="194" spans="2:103">
      <c r="AB194" s="383" t="s">
        <v>178</v>
      </c>
      <c r="AC194" s="383"/>
      <c r="AD194" s="383"/>
      <c r="AE194" s="384" t="str">
        <f>B180</f>
        <v>6. Seguros y Fianzas</v>
      </c>
      <c r="AF194" s="384"/>
      <c r="AG194" s="384"/>
      <c r="AH194" s="384"/>
      <c r="AI194" s="384"/>
      <c r="AJ194" s="384"/>
      <c r="AK194" s="384"/>
      <c r="AL194" s="384"/>
      <c r="AM194" s="384"/>
      <c r="AN194" s="384"/>
      <c r="AO194" s="384"/>
      <c r="AP194" s="384"/>
      <c r="AQ194" s="384"/>
      <c r="AR194" s="384"/>
      <c r="AS194" s="384"/>
      <c r="AT194" s="384"/>
      <c r="AU194" s="384"/>
      <c r="AV194" s="385">
        <f>SUM(BE183:BL192)</f>
        <v>81268.488503642162</v>
      </c>
      <c r="AW194" s="385"/>
      <c r="AX194" s="385"/>
      <c r="AY194" s="385"/>
      <c r="AZ194" s="385"/>
      <c r="BA194" s="385"/>
      <c r="BB194" s="385"/>
      <c r="BC194" s="385"/>
      <c r="BD194" s="386">
        <f>AV194/$AW$215</f>
        <v>8.9935360183328802E-3</v>
      </c>
      <c r="BE194" s="386"/>
      <c r="BF194" s="386"/>
      <c r="BG194" s="386"/>
      <c r="BH194" s="386"/>
      <c r="BI194" s="387" t="s">
        <v>179</v>
      </c>
      <c r="BJ194" s="387"/>
      <c r="BK194" s="387"/>
      <c r="BL194" s="176"/>
      <c r="BM194" s="177"/>
      <c r="CP194" s="87"/>
    </row>
    <row r="196" spans="2:103" ht="18">
      <c r="B196" s="184" t="s">
        <v>290</v>
      </c>
    </row>
    <row r="197" spans="2:103" ht="6.95" customHeight="1"/>
    <row r="198" spans="2:103">
      <c r="B198" s="378" t="s">
        <v>153</v>
      </c>
      <c r="C198" s="379"/>
      <c r="D198" s="378" t="s">
        <v>21</v>
      </c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  <c r="U198" s="379"/>
      <c r="V198" s="343" t="s">
        <v>291</v>
      </c>
      <c r="W198" s="343"/>
      <c r="X198" s="343"/>
      <c r="Y198" s="343"/>
      <c r="Z198" s="343"/>
      <c r="AA198" s="343"/>
      <c r="AB198" s="343"/>
      <c r="AC198" s="343"/>
      <c r="AD198" s="343" t="s">
        <v>292</v>
      </c>
      <c r="AE198" s="343"/>
      <c r="AF198" s="343"/>
      <c r="AG198" s="343"/>
      <c r="AH198" s="343"/>
      <c r="AI198" s="343"/>
      <c r="AJ198" s="343"/>
      <c r="AK198" s="343"/>
      <c r="AL198" s="378" t="s">
        <v>293</v>
      </c>
      <c r="AM198" s="380"/>
      <c r="AN198" s="380"/>
      <c r="AO198" s="380"/>
      <c r="AP198" s="380"/>
      <c r="AQ198" s="380"/>
      <c r="AR198" s="380"/>
      <c r="AS198" s="380"/>
      <c r="AT198" s="380"/>
      <c r="AU198" s="380"/>
      <c r="AV198" s="379"/>
      <c r="AW198" s="343" t="s">
        <v>294</v>
      </c>
      <c r="AX198" s="343"/>
      <c r="AY198" s="343"/>
      <c r="AZ198" s="343"/>
      <c r="BA198" s="343"/>
      <c r="BB198" s="343"/>
      <c r="BC198" s="343"/>
      <c r="BD198" s="343"/>
      <c r="BE198" s="343" t="s">
        <v>295</v>
      </c>
      <c r="BF198" s="343"/>
      <c r="BG198" s="343"/>
      <c r="BH198" s="343"/>
      <c r="BI198" s="343"/>
      <c r="BJ198" s="343"/>
      <c r="BK198" s="343"/>
      <c r="BL198" s="343"/>
      <c r="BM198" s="174"/>
      <c r="BN198" s="174"/>
      <c r="BO198" s="176"/>
      <c r="BP198" s="176"/>
      <c r="BQ198" s="176"/>
      <c r="BR198" s="176"/>
      <c r="BS198" s="176"/>
      <c r="BT198" s="176"/>
      <c r="BU198" s="176"/>
      <c r="BV198" s="176"/>
      <c r="CQ198" s="177"/>
      <c r="CR198" s="177"/>
      <c r="CS198" s="177"/>
      <c r="CT198" s="177"/>
      <c r="CU198" s="177"/>
      <c r="CV198" s="177"/>
      <c r="CW198" s="177"/>
      <c r="CX198" s="177"/>
      <c r="CY198" s="177"/>
    </row>
    <row r="199" spans="2:103">
      <c r="B199" s="352">
        <v>1</v>
      </c>
      <c r="C199" s="353"/>
      <c r="D199" s="354" t="s">
        <v>26</v>
      </c>
      <c r="E199" s="355"/>
      <c r="F199" s="355"/>
      <c r="G199" s="355"/>
      <c r="H199" s="355"/>
      <c r="I199" s="355"/>
      <c r="J199" s="355"/>
      <c r="K199" s="355"/>
      <c r="L199" s="355"/>
      <c r="M199" s="355"/>
      <c r="N199" s="355"/>
      <c r="O199" s="355"/>
      <c r="P199" s="355"/>
      <c r="Q199" s="355"/>
      <c r="R199" s="355"/>
      <c r="S199" s="355"/>
      <c r="T199" s="355"/>
      <c r="U199" s="356"/>
      <c r="V199" s="366" t="s">
        <v>296</v>
      </c>
      <c r="W199" s="367"/>
      <c r="X199" s="367"/>
      <c r="Y199" s="367"/>
      <c r="Z199" s="367"/>
      <c r="AA199" s="367"/>
      <c r="AB199" s="367"/>
      <c r="AC199" s="368"/>
      <c r="AD199" s="363">
        <f>$AW$5</f>
        <v>7112811.7300000004</v>
      </c>
      <c r="AE199" s="364"/>
      <c r="AF199" s="364"/>
      <c r="AG199" s="364"/>
      <c r="AH199" s="364"/>
      <c r="AI199" s="364"/>
      <c r="AJ199" s="364"/>
      <c r="AK199" s="365"/>
      <c r="AL199" s="357"/>
      <c r="AM199" s="358"/>
      <c r="AN199" s="358"/>
      <c r="AO199" s="358"/>
      <c r="AP199" s="358"/>
      <c r="AQ199" s="358"/>
      <c r="AR199" s="358"/>
      <c r="AS199" s="358"/>
      <c r="AT199" s="358"/>
      <c r="AU199" s="358"/>
      <c r="AV199" s="359"/>
      <c r="AW199" s="363"/>
      <c r="AX199" s="364"/>
      <c r="AY199" s="364"/>
      <c r="AZ199" s="364"/>
      <c r="BA199" s="364"/>
      <c r="BB199" s="364"/>
      <c r="BC199" s="364"/>
      <c r="BD199" s="365"/>
      <c r="BE199" s="349"/>
      <c r="BF199" s="350"/>
      <c r="BG199" s="350"/>
      <c r="BH199" s="350"/>
      <c r="BI199" s="350"/>
      <c r="BJ199" s="350"/>
      <c r="BK199" s="350"/>
      <c r="BL199" s="351"/>
      <c r="BM199" s="187"/>
      <c r="BN199" s="187"/>
      <c r="CP199" s="87"/>
    </row>
    <row r="200" spans="2:103">
      <c r="B200" s="352">
        <v>2</v>
      </c>
      <c r="C200" s="353"/>
      <c r="D200" s="354" t="s">
        <v>148</v>
      </c>
      <c r="E200" s="355"/>
      <c r="F200" s="355"/>
      <c r="G200" s="355"/>
      <c r="H200" s="355"/>
      <c r="I200" s="355"/>
      <c r="J200" s="355"/>
      <c r="K200" s="355"/>
      <c r="L200" s="355"/>
      <c r="M200" s="355"/>
      <c r="N200" s="355"/>
      <c r="O200" s="355"/>
      <c r="P200" s="355"/>
      <c r="Q200" s="355"/>
      <c r="R200" s="355"/>
      <c r="S200" s="355"/>
      <c r="T200" s="355"/>
      <c r="U200" s="356"/>
      <c r="V200" s="366" t="s">
        <v>297</v>
      </c>
      <c r="W200" s="367"/>
      <c r="X200" s="367"/>
      <c r="Y200" s="367"/>
      <c r="Z200" s="367"/>
      <c r="AA200" s="367"/>
      <c r="AB200" s="367"/>
      <c r="AC200" s="368"/>
      <c r="AD200" s="363">
        <f>AV150</f>
        <v>730750</v>
      </c>
      <c r="AE200" s="364"/>
      <c r="AF200" s="364"/>
      <c r="AG200" s="364"/>
      <c r="AH200" s="364"/>
      <c r="AI200" s="364"/>
      <c r="AJ200" s="364"/>
      <c r="AK200" s="365"/>
      <c r="AL200" s="357" t="s">
        <v>298</v>
      </c>
      <c r="AM200" s="358"/>
      <c r="AN200" s="358"/>
      <c r="AO200" s="358"/>
      <c r="AP200" s="358"/>
      <c r="AQ200" s="358"/>
      <c r="AR200" s="358"/>
      <c r="AS200" s="358"/>
      <c r="AT200" s="358"/>
      <c r="AU200" s="358"/>
      <c r="AV200" s="359"/>
      <c r="AW200" s="363">
        <f>AD199+AD200</f>
        <v>7843561.7300000004</v>
      </c>
      <c r="AX200" s="364"/>
      <c r="AY200" s="364"/>
      <c r="AZ200" s="364"/>
      <c r="BA200" s="364"/>
      <c r="BB200" s="364"/>
      <c r="BC200" s="364"/>
      <c r="BD200" s="365"/>
      <c r="BE200" s="349">
        <f>1+(AD200/AD199)</f>
        <v>1.1027371492089246</v>
      </c>
      <c r="BF200" s="350"/>
      <c r="BG200" s="350"/>
      <c r="BH200" s="350"/>
      <c r="BI200" s="350"/>
      <c r="BJ200" s="350"/>
      <c r="BK200" s="350"/>
      <c r="BL200" s="351"/>
      <c r="BM200" s="187"/>
      <c r="BN200" s="187"/>
      <c r="CP200" s="87"/>
    </row>
    <row r="201" spans="2:103">
      <c r="B201" s="352">
        <v>3</v>
      </c>
      <c r="C201" s="353"/>
      <c r="D201" s="372" t="s">
        <v>149</v>
      </c>
      <c r="E201" s="373"/>
      <c r="F201" s="373"/>
      <c r="G201" s="373"/>
      <c r="H201" s="373"/>
      <c r="I201" s="373"/>
      <c r="J201" s="373"/>
      <c r="K201" s="373"/>
      <c r="L201" s="373"/>
      <c r="M201" s="373"/>
      <c r="N201" s="373"/>
      <c r="O201" s="373"/>
      <c r="P201" s="373"/>
      <c r="Q201" s="373"/>
      <c r="R201" s="373"/>
      <c r="S201" s="373"/>
      <c r="T201" s="373"/>
      <c r="U201" s="374"/>
      <c r="V201" s="357"/>
      <c r="W201" s="358"/>
      <c r="X201" s="358"/>
      <c r="Y201" s="358"/>
      <c r="Z201" s="358"/>
      <c r="AA201" s="358"/>
      <c r="AB201" s="358"/>
      <c r="AC201" s="359"/>
      <c r="AD201" s="375">
        <f>AV58</f>
        <v>335750</v>
      </c>
      <c r="AE201" s="376"/>
      <c r="AF201" s="376"/>
      <c r="AG201" s="376"/>
      <c r="AH201" s="376"/>
      <c r="AI201" s="376"/>
      <c r="AJ201" s="376"/>
      <c r="AK201" s="377"/>
      <c r="AL201" s="357"/>
      <c r="AM201" s="358"/>
      <c r="AN201" s="358"/>
      <c r="AO201" s="358"/>
      <c r="AP201" s="358"/>
      <c r="AQ201" s="358"/>
      <c r="AR201" s="358"/>
      <c r="AS201" s="358"/>
      <c r="AT201" s="358"/>
      <c r="AU201" s="358"/>
      <c r="AV201" s="359"/>
      <c r="AW201" s="375">
        <f>$AD$199+AD201</f>
        <v>7448561.7300000004</v>
      </c>
      <c r="AX201" s="376"/>
      <c r="AY201" s="376"/>
      <c r="AZ201" s="376"/>
      <c r="BA201" s="376"/>
      <c r="BB201" s="376"/>
      <c r="BC201" s="376"/>
      <c r="BD201" s="377"/>
      <c r="BE201" s="369">
        <f t="shared" ref="BE201:BE208" si="12">1+(AD201/$AD$199)</f>
        <v>1.0472035550419383</v>
      </c>
      <c r="BF201" s="370"/>
      <c r="BG201" s="370"/>
      <c r="BH201" s="370"/>
      <c r="BI201" s="370"/>
      <c r="BJ201" s="370"/>
      <c r="BK201" s="370"/>
      <c r="BL201" s="371"/>
      <c r="BM201" s="187"/>
      <c r="BN201" s="187"/>
      <c r="CP201" s="87"/>
    </row>
    <row r="202" spans="2:103">
      <c r="B202" s="352">
        <v>4</v>
      </c>
      <c r="C202" s="353"/>
      <c r="D202" s="372" t="s">
        <v>189</v>
      </c>
      <c r="E202" s="373"/>
      <c r="F202" s="373"/>
      <c r="G202" s="373"/>
      <c r="H202" s="373"/>
      <c r="I202" s="373"/>
      <c r="J202" s="373"/>
      <c r="K202" s="373"/>
      <c r="L202" s="373"/>
      <c r="M202" s="373"/>
      <c r="N202" s="373"/>
      <c r="O202" s="373"/>
      <c r="P202" s="373"/>
      <c r="Q202" s="373"/>
      <c r="R202" s="373"/>
      <c r="S202" s="373"/>
      <c r="T202" s="373"/>
      <c r="U202" s="374"/>
      <c r="V202" s="357"/>
      <c r="W202" s="358"/>
      <c r="X202" s="358"/>
      <c r="Y202" s="358"/>
      <c r="Z202" s="358"/>
      <c r="AA202" s="358"/>
      <c r="AB202" s="358"/>
      <c r="AC202" s="359"/>
      <c r="AD202" s="375">
        <f>AV78</f>
        <v>296000</v>
      </c>
      <c r="AE202" s="376"/>
      <c r="AF202" s="376"/>
      <c r="AG202" s="376"/>
      <c r="AH202" s="376"/>
      <c r="AI202" s="376"/>
      <c r="AJ202" s="376"/>
      <c r="AK202" s="377"/>
      <c r="AL202" s="357"/>
      <c r="AM202" s="358"/>
      <c r="AN202" s="358"/>
      <c r="AO202" s="358"/>
      <c r="AP202" s="358"/>
      <c r="AQ202" s="358"/>
      <c r="AR202" s="358"/>
      <c r="AS202" s="358"/>
      <c r="AT202" s="358"/>
      <c r="AU202" s="358"/>
      <c r="AV202" s="359"/>
      <c r="AW202" s="375">
        <f t="shared" ref="AW202:AW207" si="13">AW201+AD202</f>
        <v>7744561.7300000004</v>
      </c>
      <c r="AX202" s="376"/>
      <c r="AY202" s="376"/>
      <c r="AZ202" s="376"/>
      <c r="BA202" s="376"/>
      <c r="BB202" s="376"/>
      <c r="BC202" s="376"/>
      <c r="BD202" s="377"/>
      <c r="BE202" s="369">
        <f t="shared" si="12"/>
        <v>1.0416150477808304</v>
      </c>
      <c r="BF202" s="370"/>
      <c r="BG202" s="370"/>
      <c r="BH202" s="370"/>
      <c r="BI202" s="370"/>
      <c r="BJ202" s="370"/>
      <c r="BK202" s="370"/>
      <c r="BL202" s="371"/>
      <c r="BM202" s="187"/>
      <c r="BN202" s="187"/>
      <c r="CP202" s="87"/>
    </row>
    <row r="203" spans="2:103">
      <c r="B203" s="352">
        <v>5</v>
      </c>
      <c r="C203" s="353"/>
      <c r="D203" s="372" t="s">
        <v>205</v>
      </c>
      <c r="E203" s="373"/>
      <c r="F203" s="373"/>
      <c r="G203" s="373"/>
      <c r="H203" s="373"/>
      <c r="I203" s="373"/>
      <c r="J203" s="373"/>
      <c r="K203" s="373"/>
      <c r="L203" s="373"/>
      <c r="M203" s="373"/>
      <c r="N203" s="373"/>
      <c r="O203" s="373"/>
      <c r="P203" s="373"/>
      <c r="Q203" s="373"/>
      <c r="R203" s="373"/>
      <c r="S203" s="373"/>
      <c r="T203" s="373"/>
      <c r="U203" s="374"/>
      <c r="V203" s="357"/>
      <c r="W203" s="358"/>
      <c r="X203" s="358"/>
      <c r="Y203" s="358"/>
      <c r="Z203" s="358"/>
      <c r="AA203" s="358"/>
      <c r="AB203" s="358"/>
      <c r="AC203" s="359"/>
      <c r="AD203" s="375">
        <f>AV89</f>
        <v>0</v>
      </c>
      <c r="AE203" s="376"/>
      <c r="AF203" s="376"/>
      <c r="AG203" s="376"/>
      <c r="AH203" s="376"/>
      <c r="AI203" s="376"/>
      <c r="AJ203" s="376"/>
      <c r="AK203" s="377"/>
      <c r="AL203" s="357"/>
      <c r="AM203" s="358"/>
      <c r="AN203" s="358"/>
      <c r="AO203" s="358"/>
      <c r="AP203" s="358"/>
      <c r="AQ203" s="358"/>
      <c r="AR203" s="358"/>
      <c r="AS203" s="358"/>
      <c r="AT203" s="358"/>
      <c r="AU203" s="358"/>
      <c r="AV203" s="359"/>
      <c r="AW203" s="375">
        <f t="shared" si="13"/>
        <v>7744561.7300000004</v>
      </c>
      <c r="AX203" s="376"/>
      <c r="AY203" s="376"/>
      <c r="AZ203" s="376"/>
      <c r="BA203" s="376"/>
      <c r="BB203" s="376"/>
      <c r="BC203" s="376"/>
      <c r="BD203" s="377"/>
      <c r="BE203" s="369">
        <f t="shared" si="12"/>
        <v>1</v>
      </c>
      <c r="BF203" s="370"/>
      <c r="BG203" s="370"/>
      <c r="BH203" s="370"/>
      <c r="BI203" s="370"/>
      <c r="BJ203" s="370"/>
      <c r="BK203" s="370"/>
      <c r="BL203" s="371"/>
      <c r="BM203" s="187"/>
      <c r="BN203" s="187"/>
      <c r="CP203" s="87"/>
    </row>
    <row r="204" spans="2:103">
      <c r="B204" s="352">
        <v>6</v>
      </c>
      <c r="C204" s="353"/>
      <c r="D204" s="372" t="s">
        <v>299</v>
      </c>
      <c r="E204" s="373"/>
      <c r="F204" s="373"/>
      <c r="G204" s="373"/>
      <c r="H204" s="373"/>
      <c r="I204" s="373"/>
      <c r="J204" s="373"/>
      <c r="K204" s="373"/>
      <c r="L204" s="373"/>
      <c r="M204" s="373"/>
      <c r="N204" s="373"/>
      <c r="O204" s="373"/>
      <c r="P204" s="373"/>
      <c r="Q204" s="373"/>
      <c r="R204" s="373"/>
      <c r="S204" s="373"/>
      <c r="T204" s="373"/>
      <c r="U204" s="374"/>
      <c r="V204" s="357"/>
      <c r="W204" s="358"/>
      <c r="X204" s="358"/>
      <c r="Y204" s="358"/>
      <c r="Z204" s="358"/>
      <c r="AA204" s="358"/>
      <c r="AB204" s="358"/>
      <c r="AC204" s="359"/>
      <c r="AD204" s="375">
        <f>AV103</f>
        <v>21250</v>
      </c>
      <c r="AE204" s="376"/>
      <c r="AF204" s="376"/>
      <c r="AG204" s="376"/>
      <c r="AH204" s="376"/>
      <c r="AI204" s="376"/>
      <c r="AJ204" s="376"/>
      <c r="AK204" s="377"/>
      <c r="AL204" s="357"/>
      <c r="AM204" s="358"/>
      <c r="AN204" s="358"/>
      <c r="AO204" s="358"/>
      <c r="AP204" s="358"/>
      <c r="AQ204" s="358"/>
      <c r="AR204" s="358"/>
      <c r="AS204" s="358"/>
      <c r="AT204" s="358"/>
      <c r="AU204" s="358"/>
      <c r="AV204" s="359"/>
      <c r="AW204" s="375">
        <f t="shared" si="13"/>
        <v>7765811.7300000004</v>
      </c>
      <c r="AX204" s="376"/>
      <c r="AY204" s="376"/>
      <c r="AZ204" s="376"/>
      <c r="BA204" s="376"/>
      <c r="BB204" s="376"/>
      <c r="BC204" s="376"/>
      <c r="BD204" s="377"/>
      <c r="BE204" s="369">
        <f t="shared" si="12"/>
        <v>1.0029875667748063</v>
      </c>
      <c r="BF204" s="370"/>
      <c r="BG204" s="370"/>
      <c r="BH204" s="370"/>
      <c r="BI204" s="370"/>
      <c r="BJ204" s="370"/>
      <c r="BK204" s="370"/>
      <c r="BL204" s="371"/>
      <c r="BM204" s="187"/>
      <c r="BN204" s="187"/>
      <c r="CP204" s="87"/>
    </row>
    <row r="205" spans="2:103">
      <c r="B205" s="352">
        <v>7</v>
      </c>
      <c r="C205" s="353"/>
      <c r="D205" s="372" t="s">
        <v>216</v>
      </c>
      <c r="E205" s="373"/>
      <c r="F205" s="373"/>
      <c r="G205" s="373"/>
      <c r="H205" s="373"/>
      <c r="I205" s="373"/>
      <c r="J205" s="373"/>
      <c r="K205" s="373"/>
      <c r="L205" s="373"/>
      <c r="M205" s="373"/>
      <c r="N205" s="373"/>
      <c r="O205" s="373"/>
      <c r="P205" s="373"/>
      <c r="Q205" s="373"/>
      <c r="R205" s="373"/>
      <c r="S205" s="373"/>
      <c r="T205" s="373"/>
      <c r="U205" s="374"/>
      <c r="V205" s="357"/>
      <c r="W205" s="358"/>
      <c r="X205" s="358"/>
      <c r="Y205" s="358"/>
      <c r="Z205" s="358"/>
      <c r="AA205" s="358"/>
      <c r="AB205" s="358"/>
      <c r="AC205" s="359"/>
      <c r="AD205" s="375">
        <f>AV114</f>
        <v>0</v>
      </c>
      <c r="AE205" s="376"/>
      <c r="AF205" s="376"/>
      <c r="AG205" s="376"/>
      <c r="AH205" s="376"/>
      <c r="AI205" s="376"/>
      <c r="AJ205" s="376"/>
      <c r="AK205" s="377"/>
      <c r="AL205" s="357"/>
      <c r="AM205" s="358"/>
      <c r="AN205" s="358"/>
      <c r="AO205" s="358"/>
      <c r="AP205" s="358"/>
      <c r="AQ205" s="358"/>
      <c r="AR205" s="358"/>
      <c r="AS205" s="358"/>
      <c r="AT205" s="358"/>
      <c r="AU205" s="358"/>
      <c r="AV205" s="359"/>
      <c r="AW205" s="375">
        <f t="shared" si="13"/>
        <v>7765811.7300000004</v>
      </c>
      <c r="AX205" s="376"/>
      <c r="AY205" s="376"/>
      <c r="AZ205" s="376"/>
      <c r="BA205" s="376"/>
      <c r="BB205" s="376"/>
      <c r="BC205" s="376"/>
      <c r="BD205" s="377"/>
      <c r="BE205" s="369">
        <f t="shared" si="12"/>
        <v>1</v>
      </c>
      <c r="BF205" s="370"/>
      <c r="BG205" s="370"/>
      <c r="BH205" s="370"/>
      <c r="BI205" s="370"/>
      <c r="BJ205" s="370"/>
      <c r="BK205" s="370"/>
      <c r="BL205" s="371"/>
      <c r="BM205" s="187"/>
      <c r="BN205" s="187"/>
      <c r="CP205" s="87"/>
    </row>
    <row r="206" spans="2:103">
      <c r="B206" s="352">
        <v>8</v>
      </c>
      <c r="C206" s="353"/>
      <c r="D206" s="372" t="s">
        <v>222</v>
      </c>
      <c r="E206" s="373"/>
      <c r="F206" s="373"/>
      <c r="G206" s="373"/>
      <c r="H206" s="373"/>
      <c r="I206" s="373"/>
      <c r="J206" s="373"/>
      <c r="K206" s="373"/>
      <c r="L206" s="373"/>
      <c r="M206" s="373"/>
      <c r="N206" s="373"/>
      <c r="O206" s="373"/>
      <c r="P206" s="373"/>
      <c r="Q206" s="373"/>
      <c r="R206" s="373"/>
      <c r="S206" s="373"/>
      <c r="T206" s="373"/>
      <c r="U206" s="374"/>
      <c r="V206" s="357"/>
      <c r="W206" s="358"/>
      <c r="X206" s="358"/>
      <c r="Y206" s="358"/>
      <c r="Z206" s="358"/>
      <c r="AA206" s="358"/>
      <c r="AB206" s="358"/>
      <c r="AC206" s="359"/>
      <c r="AD206" s="375">
        <f>AV124</f>
        <v>7750</v>
      </c>
      <c r="AE206" s="376"/>
      <c r="AF206" s="376"/>
      <c r="AG206" s="376"/>
      <c r="AH206" s="376"/>
      <c r="AI206" s="376"/>
      <c r="AJ206" s="376"/>
      <c r="AK206" s="377"/>
      <c r="AL206" s="357"/>
      <c r="AM206" s="358"/>
      <c r="AN206" s="358"/>
      <c r="AO206" s="358"/>
      <c r="AP206" s="358"/>
      <c r="AQ206" s="358"/>
      <c r="AR206" s="358"/>
      <c r="AS206" s="358"/>
      <c r="AT206" s="358"/>
      <c r="AU206" s="358"/>
      <c r="AV206" s="359"/>
      <c r="AW206" s="375">
        <f t="shared" si="13"/>
        <v>7773561.7300000004</v>
      </c>
      <c r="AX206" s="376"/>
      <c r="AY206" s="376"/>
      <c r="AZ206" s="376"/>
      <c r="BA206" s="376"/>
      <c r="BB206" s="376"/>
      <c r="BC206" s="376"/>
      <c r="BD206" s="377"/>
      <c r="BE206" s="369">
        <f t="shared" si="12"/>
        <v>1.0010895831766939</v>
      </c>
      <c r="BF206" s="370"/>
      <c r="BG206" s="370"/>
      <c r="BH206" s="370"/>
      <c r="BI206" s="370"/>
      <c r="BJ206" s="370"/>
      <c r="BK206" s="370"/>
      <c r="BL206" s="371"/>
      <c r="BM206" s="187"/>
      <c r="BN206" s="187"/>
      <c r="CP206" s="87"/>
    </row>
    <row r="207" spans="2:103">
      <c r="B207" s="352">
        <v>9</v>
      </c>
      <c r="C207" s="353"/>
      <c r="D207" s="372" t="s">
        <v>227</v>
      </c>
      <c r="E207" s="373"/>
      <c r="F207" s="373"/>
      <c r="G207" s="373"/>
      <c r="H207" s="373"/>
      <c r="I207" s="373"/>
      <c r="J207" s="373"/>
      <c r="K207" s="373"/>
      <c r="L207" s="373"/>
      <c r="M207" s="373"/>
      <c r="N207" s="373"/>
      <c r="O207" s="373"/>
      <c r="P207" s="373"/>
      <c r="Q207" s="373"/>
      <c r="R207" s="373"/>
      <c r="S207" s="373"/>
      <c r="T207" s="373"/>
      <c r="U207" s="374"/>
      <c r="V207" s="357"/>
      <c r="W207" s="358"/>
      <c r="X207" s="358"/>
      <c r="Y207" s="358"/>
      <c r="Z207" s="358"/>
      <c r="AA207" s="358"/>
      <c r="AB207" s="358"/>
      <c r="AC207" s="359"/>
      <c r="AD207" s="375">
        <f>AV134</f>
        <v>40000</v>
      </c>
      <c r="AE207" s="376"/>
      <c r="AF207" s="376"/>
      <c r="AG207" s="376"/>
      <c r="AH207" s="376"/>
      <c r="AI207" s="376"/>
      <c r="AJ207" s="376"/>
      <c r="AK207" s="377"/>
      <c r="AL207" s="357"/>
      <c r="AM207" s="358"/>
      <c r="AN207" s="358"/>
      <c r="AO207" s="358"/>
      <c r="AP207" s="358"/>
      <c r="AQ207" s="358"/>
      <c r="AR207" s="358"/>
      <c r="AS207" s="358"/>
      <c r="AT207" s="358"/>
      <c r="AU207" s="358"/>
      <c r="AV207" s="359"/>
      <c r="AW207" s="375">
        <f t="shared" si="13"/>
        <v>7813561.7300000004</v>
      </c>
      <c r="AX207" s="376"/>
      <c r="AY207" s="376"/>
      <c r="AZ207" s="376"/>
      <c r="BA207" s="376"/>
      <c r="BB207" s="376"/>
      <c r="BC207" s="376"/>
      <c r="BD207" s="377"/>
      <c r="BE207" s="369">
        <f t="shared" si="12"/>
        <v>1.0056236551055175</v>
      </c>
      <c r="BF207" s="370"/>
      <c r="BG207" s="370"/>
      <c r="BH207" s="370"/>
      <c r="BI207" s="370"/>
      <c r="BJ207" s="370"/>
      <c r="BK207" s="370"/>
      <c r="BL207" s="371"/>
      <c r="BM207" s="187"/>
      <c r="BN207" s="187"/>
      <c r="CP207" s="87"/>
    </row>
    <row r="208" spans="2:103">
      <c r="B208" s="352">
        <v>10</v>
      </c>
      <c r="C208" s="353"/>
      <c r="D208" s="372" t="s">
        <v>232</v>
      </c>
      <c r="E208" s="373"/>
      <c r="F208" s="373"/>
      <c r="G208" s="373"/>
      <c r="H208" s="373"/>
      <c r="I208" s="373"/>
      <c r="J208" s="373"/>
      <c r="K208" s="373"/>
      <c r="L208" s="373"/>
      <c r="M208" s="373"/>
      <c r="N208" s="373"/>
      <c r="O208" s="373"/>
      <c r="P208" s="373"/>
      <c r="Q208" s="373"/>
      <c r="R208" s="373"/>
      <c r="S208" s="373"/>
      <c r="T208" s="373"/>
      <c r="U208" s="374"/>
      <c r="V208" s="357"/>
      <c r="W208" s="358"/>
      <c r="X208" s="358"/>
      <c r="Y208" s="358"/>
      <c r="Z208" s="358"/>
      <c r="AA208" s="358"/>
      <c r="AB208" s="358"/>
      <c r="AC208" s="359"/>
      <c r="AD208" s="375">
        <f>AV148</f>
        <v>30000</v>
      </c>
      <c r="AE208" s="376"/>
      <c r="AF208" s="376"/>
      <c r="AG208" s="376"/>
      <c r="AH208" s="376"/>
      <c r="AI208" s="376"/>
      <c r="AJ208" s="376"/>
      <c r="AK208" s="377"/>
      <c r="AL208" s="357"/>
      <c r="AM208" s="358"/>
      <c r="AN208" s="358"/>
      <c r="AO208" s="358"/>
      <c r="AP208" s="358"/>
      <c r="AQ208" s="358"/>
      <c r="AR208" s="358"/>
      <c r="AS208" s="358"/>
      <c r="AT208" s="358"/>
      <c r="AU208" s="358"/>
      <c r="AV208" s="359"/>
      <c r="AW208" s="375">
        <f>AW213+AD208</f>
        <v>7924830.2185036428</v>
      </c>
      <c r="AX208" s="376"/>
      <c r="AY208" s="376"/>
      <c r="AZ208" s="376"/>
      <c r="BA208" s="376"/>
      <c r="BB208" s="376"/>
      <c r="BC208" s="376"/>
      <c r="BD208" s="377"/>
      <c r="BE208" s="369">
        <f t="shared" si="12"/>
        <v>1.0042177413291382</v>
      </c>
      <c r="BF208" s="370"/>
      <c r="BG208" s="370"/>
      <c r="BH208" s="370"/>
      <c r="BI208" s="370"/>
      <c r="BJ208" s="370"/>
      <c r="BK208" s="370"/>
      <c r="BL208" s="371"/>
      <c r="BM208" s="187"/>
      <c r="BN208" s="187"/>
      <c r="CP208" s="87"/>
    </row>
    <row r="209" spans="1:97">
      <c r="B209" s="352">
        <v>11</v>
      </c>
      <c r="C209" s="353"/>
      <c r="D209" s="354" t="s">
        <v>241</v>
      </c>
      <c r="E209" s="355"/>
      <c r="F209" s="355"/>
      <c r="G209" s="355"/>
      <c r="H209" s="355"/>
      <c r="I209" s="355"/>
      <c r="J209" s="355"/>
      <c r="K209" s="355"/>
      <c r="L209" s="355"/>
      <c r="M209" s="355"/>
      <c r="N209" s="355"/>
      <c r="O209" s="355"/>
      <c r="P209" s="355"/>
      <c r="Q209" s="355"/>
      <c r="R209" s="355"/>
      <c r="S209" s="355"/>
      <c r="T209" s="355"/>
      <c r="U209" s="356"/>
      <c r="V209" s="366" t="s">
        <v>300</v>
      </c>
      <c r="W209" s="367"/>
      <c r="X209" s="367"/>
      <c r="Y209" s="367"/>
      <c r="Z209" s="367"/>
      <c r="AA209" s="367"/>
      <c r="AB209" s="367"/>
      <c r="AC209" s="368"/>
      <c r="AD209" s="363">
        <f>AV157</f>
        <v>0</v>
      </c>
      <c r="AE209" s="364"/>
      <c r="AF209" s="364"/>
      <c r="AG209" s="364"/>
      <c r="AH209" s="364"/>
      <c r="AI209" s="364"/>
      <c r="AJ209" s="364"/>
      <c r="AK209" s="365"/>
      <c r="AL209" s="357" t="s">
        <v>301</v>
      </c>
      <c r="AM209" s="358"/>
      <c r="AN209" s="358"/>
      <c r="AO209" s="358"/>
      <c r="AP209" s="358"/>
      <c r="AQ209" s="358"/>
      <c r="AR209" s="358"/>
      <c r="AS209" s="358"/>
      <c r="AT209" s="358"/>
      <c r="AU209" s="358"/>
      <c r="AV209" s="359"/>
      <c r="AW209" s="363">
        <f>AD209+AW200</f>
        <v>7843561.7300000004</v>
      </c>
      <c r="AX209" s="364"/>
      <c r="AY209" s="364"/>
      <c r="AZ209" s="364"/>
      <c r="BA209" s="364"/>
      <c r="BB209" s="364"/>
      <c r="BC209" s="364"/>
      <c r="BD209" s="365"/>
      <c r="BE209" s="349">
        <f>1+(AD209/AW200)</f>
        <v>1</v>
      </c>
      <c r="BF209" s="350"/>
      <c r="BG209" s="350"/>
      <c r="BH209" s="350"/>
      <c r="BI209" s="350"/>
      <c r="BJ209" s="350"/>
      <c r="BK209" s="350"/>
      <c r="BL209" s="351"/>
      <c r="BM209" s="187"/>
      <c r="BN209" s="187"/>
      <c r="CP209" s="87"/>
    </row>
    <row r="210" spans="1:97">
      <c r="B210" s="352">
        <v>12</v>
      </c>
      <c r="C210" s="353"/>
      <c r="D210" s="354" t="s">
        <v>250</v>
      </c>
      <c r="E210" s="355"/>
      <c r="F210" s="355"/>
      <c r="G210" s="355"/>
      <c r="H210" s="355"/>
      <c r="I210" s="355"/>
      <c r="J210" s="355"/>
      <c r="K210" s="355"/>
      <c r="L210" s="355"/>
      <c r="M210" s="355"/>
      <c r="N210" s="355"/>
      <c r="O210" s="355"/>
      <c r="P210" s="355"/>
      <c r="Q210" s="355"/>
      <c r="R210" s="355"/>
      <c r="S210" s="355"/>
      <c r="T210" s="355"/>
      <c r="U210" s="356"/>
      <c r="V210" s="366" t="s">
        <v>302</v>
      </c>
      <c r="W210" s="367"/>
      <c r="X210" s="367"/>
      <c r="Y210" s="367"/>
      <c r="Z210" s="367"/>
      <c r="AA210" s="367"/>
      <c r="AB210" s="367"/>
      <c r="AC210" s="368"/>
      <c r="AD210" s="360">
        <f>AV164</f>
        <v>705920.55570000003</v>
      </c>
      <c r="AE210" s="361"/>
      <c r="AF210" s="361"/>
      <c r="AG210" s="361"/>
      <c r="AH210" s="361"/>
      <c r="AI210" s="361"/>
      <c r="AJ210" s="361"/>
      <c r="AK210" s="362"/>
      <c r="AL210" s="357" t="s">
        <v>303</v>
      </c>
      <c r="AM210" s="358"/>
      <c r="AN210" s="358"/>
      <c r="AO210" s="358"/>
      <c r="AP210" s="358"/>
      <c r="AQ210" s="358"/>
      <c r="AR210" s="358"/>
      <c r="AS210" s="358"/>
      <c r="AT210" s="358"/>
      <c r="AU210" s="358"/>
      <c r="AV210" s="359"/>
      <c r="AW210" s="363">
        <f>AD210+AW209</f>
        <v>8549482.2857000008</v>
      </c>
      <c r="AX210" s="364"/>
      <c r="AY210" s="364"/>
      <c r="AZ210" s="364"/>
      <c r="BA210" s="364"/>
      <c r="BB210" s="364"/>
      <c r="BC210" s="364"/>
      <c r="BD210" s="365"/>
      <c r="BE210" s="349">
        <f>1+(AD210/AW209)</f>
        <v>1.0900000000000001</v>
      </c>
      <c r="BF210" s="350"/>
      <c r="BG210" s="350"/>
      <c r="BH210" s="350"/>
      <c r="BI210" s="350"/>
      <c r="BJ210" s="350"/>
      <c r="BK210" s="350"/>
      <c r="BL210" s="351"/>
      <c r="BM210" s="187"/>
      <c r="BN210" s="187"/>
      <c r="CP210" s="87"/>
    </row>
    <row r="211" spans="1:97">
      <c r="B211" s="352">
        <v>13</v>
      </c>
      <c r="C211" s="353"/>
      <c r="D211" s="354" t="s">
        <v>258</v>
      </c>
      <c r="E211" s="355"/>
      <c r="F211" s="355"/>
      <c r="G211" s="355"/>
      <c r="H211" s="355"/>
      <c r="I211" s="355"/>
      <c r="J211" s="355"/>
      <c r="K211" s="355"/>
      <c r="L211" s="355"/>
      <c r="M211" s="355"/>
      <c r="N211" s="355"/>
      <c r="O211" s="355"/>
      <c r="P211" s="355"/>
      <c r="Q211" s="355"/>
      <c r="R211" s="355"/>
      <c r="S211" s="355"/>
      <c r="T211" s="355"/>
      <c r="U211" s="356"/>
      <c r="V211" s="366" t="s">
        <v>304</v>
      </c>
      <c r="W211" s="367"/>
      <c r="X211" s="367"/>
      <c r="Y211" s="367"/>
      <c r="Z211" s="367"/>
      <c r="AA211" s="367"/>
      <c r="AB211" s="367"/>
      <c r="AC211" s="368"/>
      <c r="AD211" s="360">
        <f>AV171</f>
        <v>85494.822857000006</v>
      </c>
      <c r="AE211" s="361"/>
      <c r="AF211" s="361"/>
      <c r="AG211" s="361"/>
      <c r="AH211" s="361"/>
      <c r="AI211" s="361"/>
      <c r="AJ211" s="361"/>
      <c r="AK211" s="362"/>
      <c r="AL211" s="357" t="s">
        <v>305</v>
      </c>
      <c r="AM211" s="358"/>
      <c r="AN211" s="358"/>
      <c r="AO211" s="358"/>
      <c r="AP211" s="358"/>
      <c r="AQ211" s="358"/>
      <c r="AR211" s="358"/>
      <c r="AS211" s="358"/>
      <c r="AT211" s="358"/>
      <c r="AU211" s="358"/>
      <c r="AV211" s="359"/>
      <c r="AW211" s="363">
        <f>AD211+AW210</f>
        <v>8634977.1085570008</v>
      </c>
      <c r="AX211" s="364"/>
      <c r="AY211" s="364"/>
      <c r="AZ211" s="364"/>
      <c r="BA211" s="364"/>
      <c r="BB211" s="364"/>
      <c r="BC211" s="364"/>
      <c r="BD211" s="365"/>
      <c r="BE211" s="349">
        <f>1+(AD211/AW210)</f>
        <v>1.01</v>
      </c>
      <c r="BF211" s="350"/>
      <c r="BG211" s="350"/>
      <c r="BH211" s="350"/>
      <c r="BI211" s="350"/>
      <c r="BJ211" s="350"/>
      <c r="BK211" s="350"/>
      <c r="BL211" s="351"/>
      <c r="BM211" s="187"/>
      <c r="BN211" s="187"/>
      <c r="CP211" s="87"/>
    </row>
    <row r="212" spans="1:97">
      <c r="B212" s="352">
        <v>14</v>
      </c>
      <c r="C212" s="353"/>
      <c r="D212" s="354" t="s">
        <v>266</v>
      </c>
      <c r="E212" s="355"/>
      <c r="F212" s="355"/>
      <c r="G212" s="355"/>
      <c r="H212" s="355"/>
      <c r="I212" s="355"/>
      <c r="J212" s="355"/>
      <c r="K212" s="355"/>
      <c r="L212" s="355"/>
      <c r="M212" s="355"/>
      <c r="N212" s="355"/>
      <c r="O212" s="355"/>
      <c r="P212" s="355"/>
      <c r="Q212" s="355"/>
      <c r="R212" s="355"/>
      <c r="S212" s="355"/>
      <c r="T212" s="355"/>
      <c r="U212" s="356"/>
      <c r="V212" s="357"/>
      <c r="W212" s="358"/>
      <c r="X212" s="358"/>
      <c r="Y212" s="358"/>
      <c r="Z212" s="358"/>
      <c r="AA212" s="358"/>
      <c r="AB212" s="358"/>
      <c r="AC212" s="359"/>
      <c r="AD212" s="360">
        <f>AV178</f>
        <v>320076.52784999995</v>
      </c>
      <c r="AE212" s="361"/>
      <c r="AF212" s="361"/>
      <c r="AG212" s="361"/>
      <c r="AH212" s="361"/>
      <c r="AI212" s="361"/>
      <c r="AJ212" s="361"/>
      <c r="AK212" s="362"/>
      <c r="AL212" s="357"/>
      <c r="AM212" s="358"/>
      <c r="AN212" s="358"/>
      <c r="AO212" s="358"/>
      <c r="AP212" s="358"/>
      <c r="AQ212" s="358"/>
      <c r="AR212" s="358"/>
      <c r="AS212" s="358"/>
      <c r="AT212" s="358"/>
      <c r="AU212" s="358"/>
      <c r="AV212" s="359"/>
      <c r="AW212" s="363">
        <f>AW208+AD212</f>
        <v>8244906.746353643</v>
      </c>
      <c r="AX212" s="364"/>
      <c r="AY212" s="364"/>
      <c r="AZ212" s="364"/>
      <c r="BA212" s="364"/>
      <c r="BB212" s="364"/>
      <c r="BC212" s="364"/>
      <c r="BD212" s="365"/>
      <c r="BE212" s="349">
        <f>1+(AD212/$AD$199)</f>
        <v>1.0449999999999999</v>
      </c>
      <c r="BF212" s="350"/>
      <c r="BG212" s="350"/>
      <c r="BH212" s="350"/>
      <c r="BI212" s="350"/>
      <c r="BJ212" s="350"/>
      <c r="BK212" s="350"/>
      <c r="BL212" s="351"/>
      <c r="BM212" s="187"/>
      <c r="BN212" s="187"/>
      <c r="CP212" s="87"/>
    </row>
    <row r="213" spans="1:97">
      <c r="B213" s="352">
        <v>15</v>
      </c>
      <c r="C213" s="353"/>
      <c r="D213" s="354" t="s">
        <v>274</v>
      </c>
      <c r="E213" s="355"/>
      <c r="F213" s="355"/>
      <c r="G213" s="355"/>
      <c r="H213" s="355"/>
      <c r="I213" s="355"/>
      <c r="J213" s="355"/>
      <c r="K213" s="355"/>
      <c r="L213" s="355"/>
      <c r="M213" s="355"/>
      <c r="N213" s="355"/>
      <c r="O213" s="355"/>
      <c r="P213" s="355"/>
      <c r="Q213" s="355"/>
      <c r="R213" s="355"/>
      <c r="S213" s="355"/>
      <c r="T213" s="355"/>
      <c r="U213" s="356"/>
      <c r="V213" s="357"/>
      <c r="W213" s="358"/>
      <c r="X213" s="358"/>
      <c r="Y213" s="358"/>
      <c r="Z213" s="358"/>
      <c r="AA213" s="358"/>
      <c r="AB213" s="358"/>
      <c r="AC213" s="359"/>
      <c r="AD213" s="360">
        <f>AV194</f>
        <v>81268.488503642162</v>
      </c>
      <c r="AE213" s="361"/>
      <c r="AF213" s="361"/>
      <c r="AG213" s="361"/>
      <c r="AH213" s="361"/>
      <c r="AI213" s="361"/>
      <c r="AJ213" s="361"/>
      <c r="AK213" s="362"/>
      <c r="AL213" s="357"/>
      <c r="AM213" s="358"/>
      <c r="AN213" s="358"/>
      <c r="AO213" s="358"/>
      <c r="AP213" s="358"/>
      <c r="AQ213" s="358"/>
      <c r="AR213" s="358"/>
      <c r="AS213" s="358"/>
      <c r="AT213" s="358"/>
      <c r="AU213" s="358"/>
      <c r="AV213" s="359"/>
      <c r="AW213" s="363">
        <f>AW207+AD213</f>
        <v>7894830.2185036428</v>
      </c>
      <c r="AX213" s="364"/>
      <c r="AY213" s="364"/>
      <c r="AZ213" s="364"/>
      <c r="BA213" s="364"/>
      <c r="BB213" s="364"/>
      <c r="BC213" s="364"/>
      <c r="BD213" s="365"/>
      <c r="BE213" s="349">
        <f>1+(AD213/$AD$199)</f>
        <v>1.0114256487572801</v>
      </c>
      <c r="BF213" s="350"/>
      <c r="BG213" s="350"/>
      <c r="BH213" s="350"/>
      <c r="BI213" s="350"/>
      <c r="BJ213" s="350"/>
      <c r="BK213" s="350"/>
      <c r="BL213" s="351"/>
      <c r="BM213" s="187"/>
      <c r="BN213" s="187"/>
      <c r="CP213" s="87"/>
    </row>
    <row r="214" spans="1:97" ht="6.95" customHeight="1">
      <c r="BM214" s="174"/>
      <c r="BN214" s="174"/>
      <c r="BO214" s="176"/>
      <c r="CQ214" s="177"/>
      <c r="CR214" s="177"/>
    </row>
    <row r="215" spans="1:97">
      <c r="B215" s="343" t="s">
        <v>178</v>
      </c>
      <c r="C215" s="343"/>
      <c r="D215" s="343"/>
      <c r="E215" s="343" t="s">
        <v>306</v>
      </c>
      <c r="F215" s="343"/>
      <c r="G215" s="343"/>
      <c r="H215" s="343"/>
      <c r="I215" s="343"/>
      <c r="J215" s="343"/>
      <c r="K215" s="343"/>
      <c r="L215" s="343"/>
      <c r="M215" s="343"/>
      <c r="N215" s="343"/>
      <c r="O215" s="343"/>
      <c r="P215" s="343"/>
      <c r="Q215" s="343"/>
      <c r="R215" s="343"/>
      <c r="S215" s="343"/>
      <c r="T215" s="343"/>
      <c r="U215" s="343"/>
      <c r="V215" s="344">
        <f>1+(AD215/AD199)</f>
        <v>1.2704289763213854</v>
      </c>
      <c r="W215" s="344"/>
      <c r="X215" s="344"/>
      <c r="Y215" s="344"/>
      <c r="Z215" s="344"/>
      <c r="AA215" s="344"/>
      <c r="AB215" s="344"/>
      <c r="AC215" s="344"/>
      <c r="AD215" s="345">
        <f>AD200+AD209+AD210+AD211+AD212+AD213</f>
        <v>1923510.3949106419</v>
      </c>
      <c r="AE215" s="345"/>
      <c r="AF215" s="345"/>
      <c r="AG215" s="345"/>
      <c r="AH215" s="345"/>
      <c r="AI215" s="345"/>
      <c r="AJ215" s="345"/>
      <c r="AK215" s="345"/>
      <c r="AL215" s="346" t="s">
        <v>307</v>
      </c>
      <c r="AM215" s="347"/>
      <c r="AN215" s="347"/>
      <c r="AO215" s="347"/>
      <c r="AP215" s="347"/>
      <c r="AQ215" s="347"/>
      <c r="AR215" s="347"/>
      <c r="AS215" s="347"/>
      <c r="AT215" s="347"/>
      <c r="AU215" s="347"/>
      <c r="AV215" s="348"/>
      <c r="AW215" s="345">
        <f>AD215+AD199</f>
        <v>9036322.1249106415</v>
      </c>
      <c r="AX215" s="345"/>
      <c r="AY215" s="345"/>
      <c r="AZ215" s="345"/>
      <c r="BA215" s="345"/>
      <c r="BB215" s="345"/>
      <c r="BC215" s="345"/>
      <c r="BD215" s="345"/>
      <c r="BE215" s="345" t="s">
        <v>308</v>
      </c>
      <c r="BF215" s="345"/>
      <c r="BG215" s="345"/>
      <c r="BH215" s="345"/>
      <c r="BI215" s="345"/>
      <c r="BJ215" s="345"/>
      <c r="BK215" s="345"/>
      <c r="BL215" s="345"/>
      <c r="BM215" s="174"/>
      <c r="BN215" s="174"/>
      <c r="BO215" s="176"/>
      <c r="CQ215" s="177"/>
      <c r="CR215" s="177"/>
    </row>
    <row r="217" spans="1:97">
      <c r="E217" s="188"/>
      <c r="F217" s="188"/>
      <c r="G217" s="188"/>
      <c r="H217" s="188"/>
      <c r="I217" s="188"/>
      <c r="J217" s="188"/>
      <c r="K217" s="188"/>
      <c r="L217" s="188"/>
      <c r="M217" s="342" t="s">
        <v>309</v>
      </c>
      <c r="N217" s="342"/>
      <c r="O217" s="342"/>
      <c r="P217" s="342"/>
      <c r="Q217" s="342"/>
      <c r="R217" s="342"/>
      <c r="S217" s="342"/>
      <c r="T217" s="342"/>
      <c r="U217" s="342"/>
      <c r="V217" s="342"/>
      <c r="W217" s="342"/>
      <c r="X217" s="342"/>
      <c r="Y217" s="342" t="s">
        <v>310</v>
      </c>
      <c r="Z217" s="342"/>
      <c r="AA217" s="342"/>
      <c r="AB217" s="342"/>
      <c r="AC217" s="342"/>
      <c r="AD217" s="342"/>
      <c r="AE217" s="342"/>
      <c r="AF217" s="342"/>
      <c r="AG217" s="342"/>
      <c r="AH217" s="342"/>
      <c r="AI217" s="342"/>
      <c r="AJ217" s="342"/>
      <c r="AK217" s="342" t="s">
        <v>311</v>
      </c>
      <c r="AL217" s="342"/>
      <c r="AM217" s="342"/>
      <c r="AN217" s="342"/>
      <c r="AO217" s="342"/>
      <c r="AP217" s="342"/>
      <c r="AQ217" s="342"/>
      <c r="AR217" s="342"/>
      <c r="AS217" s="342"/>
      <c r="AT217" s="342"/>
      <c r="AU217" s="342"/>
      <c r="AV217" s="342"/>
      <c r="AW217" s="342" t="s">
        <v>312</v>
      </c>
      <c r="AX217" s="342"/>
      <c r="AY217" s="342"/>
      <c r="AZ217" s="342"/>
      <c r="BA217" s="342"/>
      <c r="BB217" s="342"/>
      <c r="BC217" s="342"/>
      <c r="BD217" s="342"/>
      <c r="BE217" s="342"/>
      <c r="BF217" s="342"/>
      <c r="BG217" s="342"/>
      <c r="BH217" s="342"/>
      <c r="BN217" s="176"/>
      <c r="BO217" s="176"/>
      <c r="BP217" s="176"/>
      <c r="CQ217" s="177"/>
      <c r="CR217" s="177"/>
      <c r="CS217" s="177"/>
    </row>
    <row r="218" spans="1:97" ht="17.25">
      <c r="A218" s="175"/>
      <c r="B218" s="175"/>
      <c r="E218" s="324" t="s">
        <v>313</v>
      </c>
      <c r="F218" s="325"/>
      <c r="G218" s="325"/>
      <c r="H218" s="325"/>
      <c r="I218" s="325"/>
      <c r="J218" s="325"/>
      <c r="K218" s="325"/>
      <c r="L218" s="326"/>
      <c r="M218" s="328" t="s">
        <v>314</v>
      </c>
      <c r="N218" s="328"/>
      <c r="O218" s="328"/>
      <c r="P218" s="328"/>
      <c r="Q218" s="328"/>
      <c r="R218" s="328"/>
      <c r="S218" s="328"/>
      <c r="T218" s="328"/>
      <c r="U218" s="328"/>
      <c r="V218" s="328"/>
      <c r="W218" s="328"/>
      <c r="X218" s="328"/>
      <c r="Y218" s="328" t="s">
        <v>315</v>
      </c>
      <c r="Z218" s="328"/>
      <c r="AA218" s="328"/>
      <c r="AB218" s="328"/>
      <c r="AC218" s="328"/>
      <c r="AD218" s="328"/>
      <c r="AE218" s="328"/>
      <c r="AF218" s="328"/>
      <c r="AG218" s="328"/>
      <c r="AH218" s="328"/>
      <c r="AI218" s="328"/>
      <c r="AJ218" s="328"/>
      <c r="AK218" s="328" t="s">
        <v>315</v>
      </c>
      <c r="AL218" s="328"/>
      <c r="AM218" s="328"/>
      <c r="AN218" s="328"/>
      <c r="AO218" s="328"/>
      <c r="AP218" s="328"/>
      <c r="AQ218" s="328"/>
      <c r="AR218" s="328"/>
      <c r="AS218" s="328"/>
      <c r="AT218" s="328"/>
      <c r="AU218" s="328"/>
      <c r="AV218" s="328"/>
      <c r="AW218" s="328" t="s">
        <v>316</v>
      </c>
      <c r="AX218" s="328"/>
      <c r="AY218" s="328"/>
      <c r="AZ218" s="328"/>
      <c r="BA218" s="328"/>
      <c r="BB218" s="328"/>
      <c r="BC218" s="328"/>
      <c r="BD218" s="328"/>
      <c r="BE218" s="328"/>
      <c r="BF218" s="328"/>
      <c r="BG218" s="328"/>
      <c r="BH218" s="328"/>
      <c r="BN218" s="176"/>
      <c r="BO218" s="176"/>
      <c r="BP218" s="176"/>
      <c r="CQ218" s="177"/>
      <c r="CR218" s="177"/>
      <c r="CS218" s="177"/>
    </row>
    <row r="219" spans="1:97" ht="17.25">
      <c r="A219" s="175"/>
      <c r="B219" s="175"/>
      <c r="E219" s="324" t="s">
        <v>317</v>
      </c>
      <c r="F219" s="325"/>
      <c r="G219" s="325"/>
      <c r="H219" s="325"/>
      <c r="I219" s="325"/>
      <c r="J219" s="325"/>
      <c r="K219" s="325"/>
      <c r="L219" s="326"/>
      <c r="M219" s="329" t="s">
        <v>1</v>
      </c>
      <c r="N219" s="329"/>
      <c r="O219" s="329"/>
      <c r="P219" s="329"/>
      <c r="Q219" s="329"/>
      <c r="R219" s="329"/>
      <c r="S219" s="329"/>
      <c r="T219" s="329"/>
      <c r="U219" s="329"/>
      <c r="V219" s="329"/>
      <c r="W219" s="329"/>
      <c r="X219" s="329"/>
      <c r="Y219" s="329" t="s">
        <v>1</v>
      </c>
      <c r="Z219" s="329"/>
      <c r="AA219" s="329"/>
      <c r="AB219" s="329"/>
      <c r="AC219" s="329"/>
      <c r="AD219" s="329"/>
      <c r="AE219" s="329"/>
      <c r="AF219" s="329"/>
      <c r="AG219" s="329"/>
      <c r="AH219" s="329"/>
      <c r="AI219" s="329"/>
      <c r="AJ219" s="329"/>
      <c r="AK219" s="329" t="s">
        <v>318</v>
      </c>
      <c r="AL219" s="329"/>
      <c r="AM219" s="329"/>
      <c r="AN219" s="329"/>
      <c r="AO219" s="329"/>
      <c r="AP219" s="329"/>
      <c r="AQ219" s="329"/>
      <c r="AR219" s="329"/>
      <c r="AS219" s="329"/>
      <c r="AT219" s="329"/>
      <c r="AU219" s="329"/>
      <c r="AV219" s="329"/>
      <c r="AW219" s="329" t="s">
        <v>319</v>
      </c>
      <c r="AX219" s="329"/>
      <c r="AY219" s="329"/>
      <c r="AZ219" s="329"/>
      <c r="BA219" s="329"/>
      <c r="BB219" s="329"/>
      <c r="BC219" s="329"/>
      <c r="BD219" s="329"/>
      <c r="BE219" s="329"/>
      <c r="BF219" s="329"/>
      <c r="BG219" s="329"/>
      <c r="BH219" s="329"/>
      <c r="BN219" s="176"/>
      <c r="BO219" s="176"/>
      <c r="BP219" s="176"/>
      <c r="CQ219" s="177"/>
      <c r="CR219" s="177"/>
      <c r="CS219" s="177"/>
    </row>
    <row r="220" spans="1:97" ht="17.25">
      <c r="A220" s="175"/>
      <c r="B220" s="175"/>
      <c r="E220" s="330" t="s">
        <v>320</v>
      </c>
      <c r="F220" s="331"/>
      <c r="G220" s="331"/>
      <c r="H220" s="331"/>
      <c r="I220" s="331"/>
      <c r="J220" s="331"/>
      <c r="K220" s="331"/>
      <c r="L220" s="332"/>
      <c r="M220" s="339"/>
      <c r="N220" s="339"/>
      <c r="O220" s="339"/>
      <c r="P220" s="339"/>
      <c r="Q220" s="339"/>
      <c r="R220" s="339"/>
      <c r="S220" s="339"/>
      <c r="T220" s="339"/>
      <c r="U220" s="339"/>
      <c r="V220" s="339"/>
      <c r="W220" s="339"/>
      <c r="X220" s="339"/>
      <c r="Y220" s="339"/>
      <c r="Z220" s="339"/>
      <c r="AA220" s="339"/>
      <c r="AB220" s="339"/>
      <c r="AC220" s="339"/>
      <c r="AD220" s="339"/>
      <c r="AE220" s="339"/>
      <c r="AF220" s="339"/>
      <c r="AG220" s="339"/>
      <c r="AH220" s="339"/>
      <c r="AI220" s="339"/>
      <c r="AJ220" s="339"/>
      <c r="AK220" s="339"/>
      <c r="AL220" s="339"/>
      <c r="AM220" s="339"/>
      <c r="AN220" s="339"/>
      <c r="AO220" s="339"/>
      <c r="AP220" s="339"/>
      <c r="AQ220" s="339"/>
      <c r="AR220" s="339"/>
      <c r="AS220" s="339"/>
      <c r="AT220" s="339"/>
      <c r="AU220" s="339"/>
      <c r="AV220" s="339"/>
      <c r="AW220" s="339"/>
      <c r="AX220" s="339"/>
      <c r="AY220" s="339"/>
      <c r="AZ220" s="339"/>
      <c r="BA220" s="339"/>
      <c r="BB220" s="339"/>
      <c r="BC220" s="339"/>
      <c r="BD220" s="339"/>
      <c r="BE220" s="339"/>
      <c r="BF220" s="339"/>
      <c r="BG220" s="339"/>
      <c r="BH220" s="339"/>
      <c r="BN220" s="176"/>
      <c r="BO220" s="176"/>
      <c r="BP220" s="176"/>
      <c r="CQ220" s="177"/>
      <c r="CR220" s="177"/>
      <c r="CS220" s="177"/>
    </row>
    <row r="221" spans="1:97" ht="17.25">
      <c r="A221" s="175"/>
      <c r="B221" s="175"/>
      <c r="E221" s="333"/>
      <c r="F221" s="334"/>
      <c r="G221" s="334"/>
      <c r="H221" s="334"/>
      <c r="I221" s="334"/>
      <c r="J221" s="334"/>
      <c r="K221" s="334"/>
      <c r="L221" s="335"/>
      <c r="M221" s="340"/>
      <c r="N221" s="340"/>
      <c r="O221" s="340"/>
      <c r="P221" s="340"/>
      <c r="Q221" s="340"/>
      <c r="R221" s="340"/>
      <c r="S221" s="340"/>
      <c r="T221" s="340"/>
      <c r="U221" s="340"/>
      <c r="V221" s="340"/>
      <c r="W221" s="340"/>
      <c r="X221" s="340"/>
      <c r="Y221" s="340"/>
      <c r="Z221" s="340"/>
      <c r="AA221" s="340"/>
      <c r="AB221" s="340"/>
      <c r="AC221" s="340"/>
      <c r="AD221" s="340"/>
      <c r="AE221" s="340"/>
      <c r="AF221" s="340"/>
      <c r="AG221" s="340"/>
      <c r="AH221" s="340"/>
      <c r="AI221" s="340"/>
      <c r="AJ221" s="340"/>
      <c r="AK221" s="340"/>
      <c r="AL221" s="340"/>
      <c r="AM221" s="340"/>
      <c r="AN221" s="340"/>
      <c r="AO221" s="340"/>
      <c r="AP221" s="340"/>
      <c r="AQ221" s="340"/>
      <c r="AR221" s="340"/>
      <c r="AS221" s="340"/>
      <c r="AT221" s="340"/>
      <c r="AU221" s="340"/>
      <c r="AV221" s="340"/>
      <c r="AW221" s="340"/>
      <c r="AX221" s="340"/>
      <c r="AY221" s="340"/>
      <c r="AZ221" s="340"/>
      <c r="BA221" s="340"/>
      <c r="BB221" s="340"/>
      <c r="BC221" s="340"/>
      <c r="BD221" s="340"/>
      <c r="BE221" s="340"/>
      <c r="BF221" s="340"/>
      <c r="BG221" s="340"/>
      <c r="BH221" s="340"/>
      <c r="BN221" s="176"/>
      <c r="BO221" s="176"/>
      <c r="BP221" s="176"/>
      <c r="CQ221" s="177"/>
      <c r="CR221" s="177"/>
      <c r="CS221" s="177"/>
    </row>
    <row r="222" spans="1:97" ht="17.25">
      <c r="A222" s="175"/>
      <c r="B222" s="175"/>
      <c r="E222" s="336"/>
      <c r="F222" s="337"/>
      <c r="G222" s="337"/>
      <c r="H222" s="337"/>
      <c r="I222" s="337"/>
      <c r="J222" s="337"/>
      <c r="K222" s="337"/>
      <c r="L222" s="338"/>
      <c r="M222" s="341"/>
      <c r="N222" s="341"/>
      <c r="O222" s="341"/>
      <c r="P222" s="341"/>
      <c r="Q222" s="341"/>
      <c r="R222" s="341"/>
      <c r="S222" s="341"/>
      <c r="T222" s="341"/>
      <c r="U222" s="341"/>
      <c r="V222" s="341"/>
      <c r="W222" s="341"/>
      <c r="X222" s="341"/>
      <c r="Y222" s="341"/>
      <c r="Z222" s="341"/>
      <c r="AA222" s="341"/>
      <c r="AB222" s="341"/>
      <c r="AC222" s="341"/>
      <c r="AD222" s="341"/>
      <c r="AE222" s="341"/>
      <c r="AF222" s="341"/>
      <c r="AG222" s="341"/>
      <c r="AH222" s="341"/>
      <c r="AI222" s="341"/>
      <c r="AJ222" s="341"/>
      <c r="AK222" s="341"/>
      <c r="AL222" s="341"/>
      <c r="AM222" s="341"/>
      <c r="AN222" s="341"/>
      <c r="AO222" s="341"/>
      <c r="AP222" s="341"/>
      <c r="AQ222" s="341"/>
      <c r="AR222" s="341"/>
      <c r="AS222" s="341"/>
      <c r="AT222" s="341"/>
      <c r="AU222" s="341"/>
      <c r="AV222" s="341"/>
      <c r="AW222" s="341"/>
      <c r="AX222" s="341"/>
      <c r="AY222" s="341"/>
      <c r="AZ222" s="341"/>
      <c r="BA222" s="341"/>
      <c r="BB222" s="341"/>
      <c r="BC222" s="341"/>
      <c r="BD222" s="341"/>
      <c r="BE222" s="341"/>
      <c r="BF222" s="341"/>
      <c r="BG222" s="341"/>
      <c r="BH222" s="341"/>
      <c r="BN222" s="176"/>
      <c r="BO222" s="176"/>
      <c r="BP222" s="176"/>
      <c r="CQ222" s="177"/>
      <c r="CR222" s="177"/>
      <c r="CS222" s="177"/>
    </row>
    <row r="223" spans="1:97" ht="17.25">
      <c r="A223" s="175"/>
      <c r="B223" s="175"/>
      <c r="E223" s="324" t="s">
        <v>89</v>
      </c>
      <c r="F223" s="325"/>
      <c r="G223" s="325"/>
      <c r="H223" s="325"/>
      <c r="I223" s="325"/>
      <c r="J223" s="325"/>
      <c r="K223" s="325"/>
      <c r="L223" s="326"/>
      <c r="M223" s="327">
        <v>45534</v>
      </c>
      <c r="N223" s="328"/>
      <c r="O223" s="328"/>
      <c r="P223" s="328"/>
      <c r="Q223" s="328"/>
      <c r="R223" s="328"/>
      <c r="S223" s="328"/>
      <c r="T223" s="328"/>
      <c r="U223" s="328"/>
      <c r="V223" s="328"/>
      <c r="W223" s="328"/>
      <c r="X223" s="328"/>
      <c r="Y223" s="327">
        <f>M223</f>
        <v>45534</v>
      </c>
      <c r="Z223" s="328"/>
      <c r="AA223" s="328"/>
      <c r="AB223" s="328"/>
      <c r="AC223" s="328"/>
      <c r="AD223" s="328"/>
      <c r="AE223" s="328"/>
      <c r="AF223" s="328"/>
      <c r="AG223" s="328"/>
      <c r="AH223" s="328"/>
      <c r="AI223" s="328"/>
      <c r="AJ223" s="328"/>
      <c r="AK223" s="327">
        <f>Y223</f>
        <v>45534</v>
      </c>
      <c r="AL223" s="328"/>
      <c r="AM223" s="328"/>
      <c r="AN223" s="328"/>
      <c r="AO223" s="328"/>
      <c r="AP223" s="328"/>
      <c r="AQ223" s="328"/>
      <c r="AR223" s="328"/>
      <c r="AS223" s="328"/>
      <c r="AT223" s="328"/>
      <c r="AU223" s="328"/>
      <c r="AV223" s="328"/>
      <c r="AW223" s="327">
        <f>M223</f>
        <v>45534</v>
      </c>
      <c r="AX223" s="328"/>
      <c r="AY223" s="328"/>
      <c r="AZ223" s="328"/>
      <c r="BA223" s="328"/>
      <c r="BB223" s="328"/>
      <c r="BC223" s="328"/>
      <c r="BD223" s="328"/>
      <c r="BE223" s="328"/>
      <c r="BF223" s="328"/>
      <c r="BG223" s="328"/>
      <c r="BH223" s="328"/>
      <c r="BN223" s="176"/>
      <c r="BO223" s="176"/>
      <c r="BP223" s="176"/>
      <c r="CQ223" s="177"/>
      <c r="CR223" s="177"/>
      <c r="CS223" s="177"/>
    </row>
  </sheetData>
  <dataConsolidate link="1"/>
  <mergeCells count="961">
    <mergeCell ref="B9:P9"/>
    <mergeCell ref="Q9:AE9"/>
    <mergeCell ref="AH9:AV9"/>
    <mergeCell ref="AW9:BK9"/>
    <mergeCell ref="B11:P11"/>
    <mergeCell ref="Q11:AE11"/>
    <mergeCell ref="AH11:AV11"/>
    <mergeCell ref="AW11:BK11"/>
    <mergeCell ref="B1:BA1"/>
    <mergeCell ref="B5:P5"/>
    <mergeCell ref="Q5:AE5"/>
    <mergeCell ref="AH5:AV5"/>
    <mergeCell ref="AW5:BK5"/>
    <mergeCell ref="B7:P7"/>
    <mergeCell ref="Q7:AE7"/>
    <mergeCell ref="AH7:AV7"/>
    <mergeCell ref="AW7:BK7"/>
    <mergeCell ref="AV19:BC19"/>
    <mergeCell ref="BD19:BK19"/>
    <mergeCell ref="B20:C20"/>
    <mergeCell ref="D20:O20"/>
    <mergeCell ref="P20:W20"/>
    <mergeCell ref="X20:AE20"/>
    <mergeCell ref="AF20:AM20"/>
    <mergeCell ref="AN20:AU20"/>
    <mergeCell ref="AV20:BC20"/>
    <mergeCell ref="BD20:BK20"/>
    <mergeCell ref="B19:C19"/>
    <mergeCell ref="D19:O19"/>
    <mergeCell ref="P19:W19"/>
    <mergeCell ref="X19:AE19"/>
    <mergeCell ref="AF19:AM19"/>
    <mergeCell ref="AN19:AU19"/>
    <mergeCell ref="AV21:BC21"/>
    <mergeCell ref="BD21:BK21"/>
    <mergeCell ref="B22:C22"/>
    <mergeCell ref="D22:O22"/>
    <mergeCell ref="P22:W22"/>
    <mergeCell ref="X22:AE22"/>
    <mergeCell ref="AF22:AM22"/>
    <mergeCell ref="AN22:AU22"/>
    <mergeCell ref="AV22:BC22"/>
    <mergeCell ref="BD22:BK22"/>
    <mergeCell ref="B21:C21"/>
    <mergeCell ref="D21:O21"/>
    <mergeCell ref="P21:W21"/>
    <mergeCell ref="X21:AE21"/>
    <mergeCell ref="AF21:AM21"/>
    <mergeCell ref="AN21:AU21"/>
    <mergeCell ref="AV23:BC23"/>
    <mergeCell ref="BD23:BK23"/>
    <mergeCell ref="B24:C24"/>
    <mergeCell ref="D24:O24"/>
    <mergeCell ref="P24:W24"/>
    <mergeCell ref="X24:AE24"/>
    <mergeCell ref="AF24:AM24"/>
    <mergeCell ref="AN24:AU24"/>
    <mergeCell ref="AV24:BC24"/>
    <mergeCell ref="BD24:BK24"/>
    <mergeCell ref="B23:C23"/>
    <mergeCell ref="D23:O23"/>
    <mergeCell ref="P23:W23"/>
    <mergeCell ref="X23:AE23"/>
    <mergeCell ref="AF23:AM23"/>
    <mergeCell ref="AN23:AU23"/>
    <mergeCell ref="AV25:BC25"/>
    <mergeCell ref="BD25:BK25"/>
    <mergeCell ref="B26:C26"/>
    <mergeCell ref="D26:O26"/>
    <mergeCell ref="P26:W26"/>
    <mergeCell ref="X26:AE26"/>
    <mergeCell ref="AF26:AM26"/>
    <mergeCell ref="AN26:AU26"/>
    <mergeCell ref="AV26:BC26"/>
    <mergeCell ref="BD26:BK26"/>
    <mergeCell ref="B25:C25"/>
    <mergeCell ref="D25:O25"/>
    <mergeCell ref="P25:W25"/>
    <mergeCell ref="X25:AE25"/>
    <mergeCell ref="AF25:AM25"/>
    <mergeCell ref="AN25:AU25"/>
    <mergeCell ref="AV27:BC27"/>
    <mergeCell ref="BD27:BK27"/>
    <mergeCell ref="B28:C28"/>
    <mergeCell ref="D28:O28"/>
    <mergeCell ref="P28:W28"/>
    <mergeCell ref="X28:AE28"/>
    <mergeCell ref="AF28:AM28"/>
    <mergeCell ref="AN28:AU28"/>
    <mergeCell ref="AV28:BC28"/>
    <mergeCell ref="BD28:BK28"/>
    <mergeCell ref="B27:C27"/>
    <mergeCell ref="D27:O27"/>
    <mergeCell ref="P27:W27"/>
    <mergeCell ref="X27:AE27"/>
    <mergeCell ref="AF27:AM27"/>
    <mergeCell ref="AN27:AU27"/>
    <mergeCell ref="AV29:BC29"/>
    <mergeCell ref="BD29:BK29"/>
    <mergeCell ref="AB31:AD31"/>
    <mergeCell ref="AE31:AU31"/>
    <mergeCell ref="AV31:BC31"/>
    <mergeCell ref="BD31:BH31"/>
    <mergeCell ref="BI31:BK31"/>
    <mergeCell ref="B29:C29"/>
    <mergeCell ref="D29:O29"/>
    <mergeCell ref="P29:W29"/>
    <mergeCell ref="X29:AE29"/>
    <mergeCell ref="AF29:AM29"/>
    <mergeCell ref="AN29:AU29"/>
    <mergeCell ref="AV35:BC35"/>
    <mergeCell ref="BD35:BK35"/>
    <mergeCell ref="B36:C36"/>
    <mergeCell ref="D36:O36"/>
    <mergeCell ref="P36:W36"/>
    <mergeCell ref="X36:AE36"/>
    <mergeCell ref="AF36:AM36"/>
    <mergeCell ref="AN36:AU36"/>
    <mergeCell ref="AV36:BC36"/>
    <mergeCell ref="BD36:BK36"/>
    <mergeCell ref="B35:C35"/>
    <mergeCell ref="D35:O35"/>
    <mergeCell ref="P35:W35"/>
    <mergeCell ref="X35:AE35"/>
    <mergeCell ref="AF35:AM35"/>
    <mergeCell ref="AN35:AU35"/>
    <mergeCell ref="AV37:BC37"/>
    <mergeCell ref="BD37:BK37"/>
    <mergeCell ref="B38:C38"/>
    <mergeCell ref="D38:O38"/>
    <mergeCell ref="P38:W38"/>
    <mergeCell ref="X38:AE38"/>
    <mergeCell ref="AF38:AM38"/>
    <mergeCell ref="AN38:AU38"/>
    <mergeCell ref="AV38:BC38"/>
    <mergeCell ref="BD38:BK38"/>
    <mergeCell ref="B37:C37"/>
    <mergeCell ref="D37:O37"/>
    <mergeCell ref="P37:W37"/>
    <mergeCell ref="X37:AE37"/>
    <mergeCell ref="AF37:AM37"/>
    <mergeCell ref="AN37:AU37"/>
    <mergeCell ref="AV39:BC39"/>
    <mergeCell ref="BD39:BK39"/>
    <mergeCell ref="B40:C40"/>
    <mergeCell ref="D40:O40"/>
    <mergeCell ref="P40:W40"/>
    <mergeCell ref="X40:AE40"/>
    <mergeCell ref="AF40:AM40"/>
    <mergeCell ref="AN40:AU40"/>
    <mergeCell ref="AV40:BC40"/>
    <mergeCell ref="BD40:BK40"/>
    <mergeCell ref="B39:C39"/>
    <mergeCell ref="D39:O39"/>
    <mergeCell ref="P39:W39"/>
    <mergeCell ref="X39:AE39"/>
    <mergeCell ref="AF39:AM39"/>
    <mergeCell ref="AN39:AU39"/>
    <mergeCell ref="AV41:BC41"/>
    <mergeCell ref="BD41:BK41"/>
    <mergeCell ref="B42:C42"/>
    <mergeCell ref="D42:O42"/>
    <mergeCell ref="P42:W42"/>
    <mergeCell ref="X42:AE42"/>
    <mergeCell ref="AF42:AM42"/>
    <mergeCell ref="AN42:AU42"/>
    <mergeCell ref="AV42:BC42"/>
    <mergeCell ref="BD42:BK42"/>
    <mergeCell ref="B41:C41"/>
    <mergeCell ref="D41:O41"/>
    <mergeCell ref="P41:W41"/>
    <mergeCell ref="X41:AE41"/>
    <mergeCell ref="AF41:AM41"/>
    <mergeCell ref="AN41:AU41"/>
    <mergeCell ref="AV43:BC43"/>
    <mergeCell ref="BD43:BK43"/>
    <mergeCell ref="B44:C44"/>
    <mergeCell ref="D44:O44"/>
    <mergeCell ref="P44:W44"/>
    <mergeCell ref="X44:AE44"/>
    <mergeCell ref="AF44:AM44"/>
    <mergeCell ref="AN44:AU44"/>
    <mergeCell ref="AV44:BC44"/>
    <mergeCell ref="BD44:BK44"/>
    <mergeCell ref="B43:C43"/>
    <mergeCell ref="D43:O43"/>
    <mergeCell ref="P43:W43"/>
    <mergeCell ref="X43:AE43"/>
    <mergeCell ref="AF43:AM43"/>
    <mergeCell ref="AN43:AU43"/>
    <mergeCell ref="AV45:BC45"/>
    <mergeCell ref="BD45:BK45"/>
    <mergeCell ref="AB47:AD47"/>
    <mergeCell ref="AE47:AU47"/>
    <mergeCell ref="AV47:BC47"/>
    <mergeCell ref="BD47:BH47"/>
    <mergeCell ref="BI47:BK47"/>
    <mergeCell ref="B45:C45"/>
    <mergeCell ref="D45:O45"/>
    <mergeCell ref="P45:W45"/>
    <mergeCell ref="X45:AE45"/>
    <mergeCell ref="AF45:AM45"/>
    <mergeCell ref="AN45:AU45"/>
    <mergeCell ref="AZ51:BG51"/>
    <mergeCell ref="F52:G52"/>
    <mergeCell ref="H52:S52"/>
    <mergeCell ref="T52:AA52"/>
    <mergeCell ref="AB52:AI52"/>
    <mergeCell ref="AJ52:AQ52"/>
    <mergeCell ref="AR52:AY52"/>
    <mergeCell ref="AZ52:BG52"/>
    <mergeCell ref="F51:G51"/>
    <mergeCell ref="H51:S51"/>
    <mergeCell ref="T51:AA51"/>
    <mergeCell ref="AB51:AI51"/>
    <mergeCell ref="AJ51:AQ51"/>
    <mergeCell ref="AR51:AY51"/>
    <mergeCell ref="AZ53:BG53"/>
    <mergeCell ref="F54:G54"/>
    <mergeCell ref="H54:S54"/>
    <mergeCell ref="T54:AA54"/>
    <mergeCell ref="AB54:AI54"/>
    <mergeCell ref="AJ54:AQ54"/>
    <mergeCell ref="AR54:AY54"/>
    <mergeCell ref="AZ54:BG54"/>
    <mergeCell ref="F53:G53"/>
    <mergeCell ref="H53:S53"/>
    <mergeCell ref="T53:AA53"/>
    <mergeCell ref="AB53:AI53"/>
    <mergeCell ref="AJ53:AQ53"/>
    <mergeCell ref="AR53:AY53"/>
    <mergeCell ref="AB56:AD56"/>
    <mergeCell ref="AE56:AU56"/>
    <mergeCell ref="AV56:BC56"/>
    <mergeCell ref="BD56:BH56"/>
    <mergeCell ref="BI56:BK56"/>
    <mergeCell ref="AB58:AD58"/>
    <mergeCell ref="AE58:AU58"/>
    <mergeCell ref="AV58:BC58"/>
    <mergeCell ref="BD58:BH58"/>
    <mergeCell ref="BI58:BK58"/>
    <mergeCell ref="AV62:BC62"/>
    <mergeCell ref="BD62:BK62"/>
    <mergeCell ref="B63:C63"/>
    <mergeCell ref="D63:O63"/>
    <mergeCell ref="P63:W63"/>
    <mergeCell ref="X63:AE63"/>
    <mergeCell ref="AF63:AM63"/>
    <mergeCell ref="AN63:AU63"/>
    <mergeCell ref="AV63:BC63"/>
    <mergeCell ref="BD63:BK63"/>
    <mergeCell ref="B62:C62"/>
    <mergeCell ref="D62:O62"/>
    <mergeCell ref="P62:W62"/>
    <mergeCell ref="X62:AE62"/>
    <mergeCell ref="AF62:AM62"/>
    <mergeCell ref="AN62:AU62"/>
    <mergeCell ref="AV64:BC64"/>
    <mergeCell ref="BD64:BK64"/>
    <mergeCell ref="B65:C65"/>
    <mergeCell ref="D65:O65"/>
    <mergeCell ref="P65:W65"/>
    <mergeCell ref="X65:AE65"/>
    <mergeCell ref="AF65:AM65"/>
    <mergeCell ref="AN65:AU65"/>
    <mergeCell ref="AV65:BC65"/>
    <mergeCell ref="BD65:BK65"/>
    <mergeCell ref="B64:C64"/>
    <mergeCell ref="D64:O64"/>
    <mergeCell ref="P64:W64"/>
    <mergeCell ref="X64:AE64"/>
    <mergeCell ref="AF64:AM64"/>
    <mergeCell ref="AN64:AU64"/>
    <mergeCell ref="AV66:BC66"/>
    <mergeCell ref="BD66:BK66"/>
    <mergeCell ref="B67:C67"/>
    <mergeCell ref="D67:O67"/>
    <mergeCell ref="P67:W67"/>
    <mergeCell ref="X67:AE67"/>
    <mergeCell ref="AF67:AM67"/>
    <mergeCell ref="AN67:AU67"/>
    <mergeCell ref="AV67:BC67"/>
    <mergeCell ref="BD67:BK67"/>
    <mergeCell ref="B66:C66"/>
    <mergeCell ref="D66:O66"/>
    <mergeCell ref="P66:W66"/>
    <mergeCell ref="X66:AE66"/>
    <mergeCell ref="AF66:AM66"/>
    <mergeCell ref="AN66:AU66"/>
    <mergeCell ref="AV68:BC68"/>
    <mergeCell ref="BD68:BK68"/>
    <mergeCell ref="B69:C69"/>
    <mergeCell ref="D69:O69"/>
    <mergeCell ref="P69:W69"/>
    <mergeCell ref="X69:AE69"/>
    <mergeCell ref="AF69:AM69"/>
    <mergeCell ref="AN69:AU69"/>
    <mergeCell ref="AV69:BC69"/>
    <mergeCell ref="BD69:BK69"/>
    <mergeCell ref="B68:C68"/>
    <mergeCell ref="D68:O68"/>
    <mergeCell ref="P68:W68"/>
    <mergeCell ref="X68:AE68"/>
    <mergeCell ref="AF68:AM68"/>
    <mergeCell ref="AN68:AU68"/>
    <mergeCell ref="AV70:BC70"/>
    <mergeCell ref="BD70:BK70"/>
    <mergeCell ref="B71:C71"/>
    <mergeCell ref="D71:O71"/>
    <mergeCell ref="P71:W71"/>
    <mergeCell ref="X71:AE71"/>
    <mergeCell ref="AF71:AM71"/>
    <mergeCell ref="AN71:AU71"/>
    <mergeCell ref="AV71:BC71"/>
    <mergeCell ref="BD71:BK71"/>
    <mergeCell ref="B70:C70"/>
    <mergeCell ref="D70:O70"/>
    <mergeCell ref="P70:W70"/>
    <mergeCell ref="X70:AE70"/>
    <mergeCell ref="AF70:AM70"/>
    <mergeCell ref="AN70:AU70"/>
    <mergeCell ref="AV72:BC72"/>
    <mergeCell ref="BD72:BK72"/>
    <mergeCell ref="B73:C73"/>
    <mergeCell ref="D73:O73"/>
    <mergeCell ref="P73:W73"/>
    <mergeCell ref="X73:AE73"/>
    <mergeCell ref="AF73:AM73"/>
    <mergeCell ref="AN73:AU73"/>
    <mergeCell ref="AV73:BC73"/>
    <mergeCell ref="BD73:BK73"/>
    <mergeCell ref="B72:C72"/>
    <mergeCell ref="D72:O72"/>
    <mergeCell ref="P72:W72"/>
    <mergeCell ref="X72:AE72"/>
    <mergeCell ref="AF72:AM72"/>
    <mergeCell ref="AN72:AU72"/>
    <mergeCell ref="B76:C76"/>
    <mergeCell ref="D76:O76"/>
    <mergeCell ref="P76:W76"/>
    <mergeCell ref="X76:AE76"/>
    <mergeCell ref="AF76:AM76"/>
    <mergeCell ref="AN76:AU76"/>
    <mergeCell ref="AV74:BC74"/>
    <mergeCell ref="BD74:BK74"/>
    <mergeCell ref="B75:C75"/>
    <mergeCell ref="D75:O75"/>
    <mergeCell ref="P75:W75"/>
    <mergeCell ref="X75:AE75"/>
    <mergeCell ref="AF75:AM75"/>
    <mergeCell ref="AN75:AU75"/>
    <mergeCell ref="AV75:BC75"/>
    <mergeCell ref="BD75:BK75"/>
    <mergeCell ref="B74:C74"/>
    <mergeCell ref="D74:O74"/>
    <mergeCell ref="P74:W74"/>
    <mergeCell ref="X74:AE74"/>
    <mergeCell ref="AF74:AM74"/>
    <mergeCell ref="AN74:AU74"/>
    <mergeCell ref="J82:K82"/>
    <mergeCell ref="L82:W82"/>
    <mergeCell ref="X82:AE82"/>
    <mergeCell ref="AF82:AM82"/>
    <mergeCell ref="AN82:AU82"/>
    <mergeCell ref="AV82:BC82"/>
    <mergeCell ref="AV76:BC76"/>
    <mergeCell ref="BD76:BK76"/>
    <mergeCell ref="AB78:AD78"/>
    <mergeCell ref="AE78:AU78"/>
    <mergeCell ref="AV78:BC78"/>
    <mergeCell ref="BD78:BH78"/>
    <mergeCell ref="BI78:BK78"/>
    <mergeCell ref="J84:K84"/>
    <mergeCell ref="L84:W84"/>
    <mergeCell ref="X84:AE84"/>
    <mergeCell ref="AF84:AM84"/>
    <mergeCell ref="AN84:AU84"/>
    <mergeCell ref="AV84:BC84"/>
    <mergeCell ref="J83:K83"/>
    <mergeCell ref="L83:W83"/>
    <mergeCell ref="X83:AE83"/>
    <mergeCell ref="AF83:AM83"/>
    <mergeCell ref="AN83:AU83"/>
    <mergeCell ref="AV83:BC83"/>
    <mergeCell ref="J86:K86"/>
    <mergeCell ref="L86:W86"/>
    <mergeCell ref="X86:AE86"/>
    <mergeCell ref="AF86:AM86"/>
    <mergeCell ref="AN86:AU86"/>
    <mergeCell ref="AV86:BC86"/>
    <mergeCell ref="J85:K85"/>
    <mergeCell ref="L85:W85"/>
    <mergeCell ref="X85:AE85"/>
    <mergeCell ref="AF85:AM85"/>
    <mergeCell ref="AN85:AU85"/>
    <mergeCell ref="AV85:BC85"/>
    <mergeCell ref="BD89:BH89"/>
    <mergeCell ref="BI89:BK89"/>
    <mergeCell ref="J93:K93"/>
    <mergeCell ref="L93:W93"/>
    <mergeCell ref="X93:AE93"/>
    <mergeCell ref="AF93:AM93"/>
    <mergeCell ref="AN93:AU93"/>
    <mergeCell ref="J87:K87"/>
    <mergeCell ref="L87:W87"/>
    <mergeCell ref="X87:AE87"/>
    <mergeCell ref="AF87:AM87"/>
    <mergeCell ref="AN87:AU87"/>
    <mergeCell ref="AV87:BC87"/>
    <mergeCell ref="AV93:BC93"/>
    <mergeCell ref="J94:K94"/>
    <mergeCell ref="L94:W94"/>
    <mergeCell ref="X94:AE94"/>
    <mergeCell ref="AF94:AM94"/>
    <mergeCell ref="AN94:AU94"/>
    <mergeCell ref="AV94:BC94"/>
    <mergeCell ref="AB89:AD89"/>
    <mergeCell ref="AE89:AU89"/>
    <mergeCell ref="AV89:BC89"/>
    <mergeCell ref="J96:K96"/>
    <mergeCell ref="L96:W96"/>
    <mergeCell ref="X96:AE96"/>
    <mergeCell ref="AF96:AM96"/>
    <mergeCell ref="AN96:AU96"/>
    <mergeCell ref="AV96:BC96"/>
    <mergeCell ref="J95:K95"/>
    <mergeCell ref="L95:W95"/>
    <mergeCell ref="X95:AE95"/>
    <mergeCell ref="AF95:AM95"/>
    <mergeCell ref="AN95:AU95"/>
    <mergeCell ref="AV95:BC95"/>
    <mergeCell ref="J98:K98"/>
    <mergeCell ref="L98:W98"/>
    <mergeCell ref="X98:AE98"/>
    <mergeCell ref="AF98:AM98"/>
    <mergeCell ref="AN98:AU98"/>
    <mergeCell ref="AV98:BC98"/>
    <mergeCell ref="J97:K97"/>
    <mergeCell ref="L97:W97"/>
    <mergeCell ref="X97:AE97"/>
    <mergeCell ref="AF97:AM97"/>
    <mergeCell ref="AN97:AU97"/>
    <mergeCell ref="AV97:BC97"/>
    <mergeCell ref="J100:K100"/>
    <mergeCell ref="L100:W100"/>
    <mergeCell ref="X100:AE100"/>
    <mergeCell ref="AF100:AM100"/>
    <mergeCell ref="AN100:AU100"/>
    <mergeCell ref="AV100:BC100"/>
    <mergeCell ref="J99:K99"/>
    <mergeCell ref="L99:W99"/>
    <mergeCell ref="X99:AE99"/>
    <mergeCell ref="AF99:AM99"/>
    <mergeCell ref="AN99:AU99"/>
    <mergeCell ref="AV99:BC99"/>
    <mergeCell ref="BD103:BH103"/>
    <mergeCell ref="BI103:BK103"/>
    <mergeCell ref="J107:K107"/>
    <mergeCell ref="L107:W107"/>
    <mergeCell ref="X107:AE107"/>
    <mergeCell ref="AF107:AM107"/>
    <mergeCell ref="AN107:AU107"/>
    <mergeCell ref="J101:K101"/>
    <mergeCell ref="L101:W101"/>
    <mergeCell ref="X101:AE101"/>
    <mergeCell ref="AF101:AM101"/>
    <mergeCell ref="AN101:AU101"/>
    <mergeCell ref="AV101:BC101"/>
    <mergeCell ref="AV107:BC107"/>
    <mergeCell ref="J108:K108"/>
    <mergeCell ref="L108:W108"/>
    <mergeCell ref="X108:AE108"/>
    <mergeCell ref="AF108:AM108"/>
    <mergeCell ref="AN108:AU108"/>
    <mergeCell ref="AV108:BC108"/>
    <mergeCell ref="AB103:AD103"/>
    <mergeCell ref="AE103:AU103"/>
    <mergeCell ref="AV103:BC103"/>
    <mergeCell ref="J110:K110"/>
    <mergeCell ref="L110:W110"/>
    <mergeCell ref="X110:AE110"/>
    <mergeCell ref="AF110:AM110"/>
    <mergeCell ref="AN110:AU110"/>
    <mergeCell ref="AV110:BC110"/>
    <mergeCell ref="J109:K109"/>
    <mergeCell ref="L109:W109"/>
    <mergeCell ref="X109:AE109"/>
    <mergeCell ref="AF109:AM109"/>
    <mergeCell ref="AN109:AU109"/>
    <mergeCell ref="AV109:BC109"/>
    <mergeCell ref="J112:K112"/>
    <mergeCell ref="L112:W112"/>
    <mergeCell ref="X112:AE112"/>
    <mergeCell ref="AF112:AM112"/>
    <mergeCell ref="AN112:AU112"/>
    <mergeCell ref="AV112:BC112"/>
    <mergeCell ref="J111:K111"/>
    <mergeCell ref="L111:W111"/>
    <mergeCell ref="X111:AE111"/>
    <mergeCell ref="AF111:AM111"/>
    <mergeCell ref="AN111:AU111"/>
    <mergeCell ref="AV111:BC111"/>
    <mergeCell ref="AB114:AD114"/>
    <mergeCell ref="AE114:AU114"/>
    <mergeCell ref="AV114:BC114"/>
    <mergeCell ref="BD114:BH114"/>
    <mergeCell ref="BI114:BK114"/>
    <mergeCell ref="J118:K118"/>
    <mergeCell ref="L118:W118"/>
    <mergeCell ref="X118:AE118"/>
    <mergeCell ref="AF118:AM118"/>
    <mergeCell ref="AN118:AU118"/>
    <mergeCell ref="J120:K120"/>
    <mergeCell ref="L120:W120"/>
    <mergeCell ref="X120:AE120"/>
    <mergeCell ref="AF120:AM120"/>
    <mergeCell ref="AN120:AU120"/>
    <mergeCell ref="AV120:BC120"/>
    <mergeCell ref="AV118:BC118"/>
    <mergeCell ref="J119:K119"/>
    <mergeCell ref="L119:W119"/>
    <mergeCell ref="X119:AE119"/>
    <mergeCell ref="AF119:AM119"/>
    <mergeCell ref="AN119:AU119"/>
    <mergeCell ref="AV119:BC119"/>
    <mergeCell ref="J122:K122"/>
    <mergeCell ref="L122:W122"/>
    <mergeCell ref="X122:AE122"/>
    <mergeCell ref="AF122:AM122"/>
    <mergeCell ref="AN122:AU122"/>
    <mergeCell ref="AV122:BC122"/>
    <mergeCell ref="J121:K121"/>
    <mergeCell ref="L121:W121"/>
    <mergeCell ref="X121:AE121"/>
    <mergeCell ref="AF121:AM121"/>
    <mergeCell ref="AN121:AU121"/>
    <mergeCell ref="AV121:BC121"/>
    <mergeCell ref="AB124:AD124"/>
    <mergeCell ref="AE124:AU124"/>
    <mergeCell ref="AV124:BC124"/>
    <mergeCell ref="BD124:BH124"/>
    <mergeCell ref="BI124:BK124"/>
    <mergeCell ref="J128:K128"/>
    <mergeCell ref="L128:W128"/>
    <mergeCell ref="X128:AE128"/>
    <mergeCell ref="AF128:AM128"/>
    <mergeCell ref="AN128:AU128"/>
    <mergeCell ref="J130:K130"/>
    <mergeCell ref="L130:W130"/>
    <mergeCell ref="X130:AE130"/>
    <mergeCell ref="AF130:AM130"/>
    <mergeCell ref="AN130:AU130"/>
    <mergeCell ref="AV130:BC130"/>
    <mergeCell ref="AV128:BC128"/>
    <mergeCell ref="J129:K129"/>
    <mergeCell ref="L129:W129"/>
    <mergeCell ref="X129:AE129"/>
    <mergeCell ref="AF129:AM129"/>
    <mergeCell ref="AN129:AU129"/>
    <mergeCell ref="AV129:BC129"/>
    <mergeCell ref="J132:K132"/>
    <mergeCell ref="L132:W132"/>
    <mergeCell ref="X132:AE132"/>
    <mergeCell ref="AF132:AM132"/>
    <mergeCell ref="AN132:AU132"/>
    <mergeCell ref="AV132:BC132"/>
    <mergeCell ref="J131:K131"/>
    <mergeCell ref="L131:W131"/>
    <mergeCell ref="X131:AE131"/>
    <mergeCell ref="AF131:AM131"/>
    <mergeCell ref="AN131:AU131"/>
    <mergeCell ref="AV131:BC131"/>
    <mergeCell ref="AB134:AD134"/>
    <mergeCell ref="AE134:AU134"/>
    <mergeCell ref="AV134:BC134"/>
    <mergeCell ref="BD134:BH134"/>
    <mergeCell ref="BI134:BK134"/>
    <mergeCell ref="J138:K138"/>
    <mergeCell ref="L138:W138"/>
    <mergeCell ref="X138:AE138"/>
    <mergeCell ref="AF138:AM138"/>
    <mergeCell ref="AN138:AU138"/>
    <mergeCell ref="J140:K140"/>
    <mergeCell ref="L140:W140"/>
    <mergeCell ref="X140:AE140"/>
    <mergeCell ref="AF140:AM140"/>
    <mergeCell ref="AN140:AU140"/>
    <mergeCell ref="AV140:BC140"/>
    <mergeCell ref="AV138:BC138"/>
    <mergeCell ref="J139:K139"/>
    <mergeCell ref="L139:W139"/>
    <mergeCell ref="X139:AE139"/>
    <mergeCell ref="AF139:AM139"/>
    <mergeCell ref="AN139:AU139"/>
    <mergeCell ref="AV139:BC139"/>
    <mergeCell ref="J142:K142"/>
    <mergeCell ref="L142:W142"/>
    <mergeCell ref="X142:AE142"/>
    <mergeCell ref="AF142:AM142"/>
    <mergeCell ref="AN142:AU142"/>
    <mergeCell ref="AV142:BC142"/>
    <mergeCell ref="J141:K141"/>
    <mergeCell ref="L141:W141"/>
    <mergeCell ref="X141:AE141"/>
    <mergeCell ref="AF141:AM141"/>
    <mergeCell ref="AN141:AU141"/>
    <mergeCell ref="AV141:BC141"/>
    <mergeCell ref="J144:K144"/>
    <mergeCell ref="L144:W144"/>
    <mergeCell ref="X144:AE144"/>
    <mergeCell ref="AF144:AM144"/>
    <mergeCell ref="AN144:AU144"/>
    <mergeCell ref="AV144:BC144"/>
    <mergeCell ref="J143:K143"/>
    <mergeCell ref="L143:W143"/>
    <mergeCell ref="X143:AE143"/>
    <mergeCell ref="AF143:AM143"/>
    <mergeCell ref="AN143:AU143"/>
    <mergeCell ref="AV143:BC143"/>
    <mergeCell ref="J146:K146"/>
    <mergeCell ref="L146:W146"/>
    <mergeCell ref="X146:AE146"/>
    <mergeCell ref="AF146:AM146"/>
    <mergeCell ref="AN146:AU146"/>
    <mergeCell ref="AV146:BC146"/>
    <mergeCell ref="J145:K145"/>
    <mergeCell ref="L145:W145"/>
    <mergeCell ref="X145:AE145"/>
    <mergeCell ref="AF145:AM145"/>
    <mergeCell ref="AN145:AU145"/>
    <mergeCell ref="AV145:BC145"/>
    <mergeCell ref="AB148:AD148"/>
    <mergeCell ref="AE148:AU148"/>
    <mergeCell ref="AV148:BC148"/>
    <mergeCell ref="BD148:BH148"/>
    <mergeCell ref="BI148:BK148"/>
    <mergeCell ref="AB150:AD150"/>
    <mergeCell ref="AE150:AU150"/>
    <mergeCell ref="AV150:BC150"/>
    <mergeCell ref="BD150:BH150"/>
    <mergeCell ref="BI150:BK150"/>
    <mergeCell ref="BD157:BH157"/>
    <mergeCell ref="BI157:BK157"/>
    <mergeCell ref="B161:C161"/>
    <mergeCell ref="D161:O161"/>
    <mergeCell ref="P161:W161"/>
    <mergeCell ref="X161:AE161"/>
    <mergeCell ref="AF161:AM161"/>
    <mergeCell ref="AV154:BC154"/>
    <mergeCell ref="BD154:BK154"/>
    <mergeCell ref="B155:C155"/>
    <mergeCell ref="D155:O155"/>
    <mergeCell ref="P155:W155"/>
    <mergeCell ref="X155:AE155"/>
    <mergeCell ref="AF155:AM155"/>
    <mergeCell ref="AN155:AU155"/>
    <mergeCell ref="AV155:BC155"/>
    <mergeCell ref="BD155:BK155"/>
    <mergeCell ref="B154:C154"/>
    <mergeCell ref="D154:O154"/>
    <mergeCell ref="P154:W154"/>
    <mergeCell ref="X154:AE154"/>
    <mergeCell ref="AF154:AM154"/>
    <mergeCell ref="AN154:AU154"/>
    <mergeCell ref="B162:C162"/>
    <mergeCell ref="D162:O162"/>
    <mergeCell ref="P162:W162"/>
    <mergeCell ref="X162:AE162"/>
    <mergeCell ref="AF162:AM162"/>
    <mergeCell ref="AN162:AU162"/>
    <mergeCell ref="AV162:BC162"/>
    <mergeCell ref="AB157:AD157"/>
    <mergeCell ref="AE157:AU157"/>
    <mergeCell ref="AV157:BC157"/>
    <mergeCell ref="BD162:BK162"/>
    <mergeCell ref="AB164:AD164"/>
    <mergeCell ref="AE164:AU164"/>
    <mergeCell ref="AV164:BC164"/>
    <mergeCell ref="BD164:BH164"/>
    <mergeCell ref="BI164:BK164"/>
    <mergeCell ref="AN161:AU161"/>
    <mergeCell ref="AV161:BC161"/>
    <mergeCell ref="BD161:BK161"/>
    <mergeCell ref="BD171:BH171"/>
    <mergeCell ref="BI171:BK171"/>
    <mergeCell ref="B175:C175"/>
    <mergeCell ref="D175:O175"/>
    <mergeCell ref="P175:W175"/>
    <mergeCell ref="X175:AE175"/>
    <mergeCell ref="AF175:AM175"/>
    <mergeCell ref="AV168:BC168"/>
    <mergeCell ref="BD168:BK168"/>
    <mergeCell ref="B169:C169"/>
    <mergeCell ref="D169:O169"/>
    <mergeCell ref="P169:W169"/>
    <mergeCell ref="X169:AE169"/>
    <mergeCell ref="AF169:AM169"/>
    <mergeCell ref="AN169:AU169"/>
    <mergeCell ref="AV169:BC169"/>
    <mergeCell ref="BD169:BK169"/>
    <mergeCell ref="B168:C168"/>
    <mergeCell ref="D168:O168"/>
    <mergeCell ref="P168:W168"/>
    <mergeCell ref="X168:AE168"/>
    <mergeCell ref="AF168:AM168"/>
    <mergeCell ref="AN168:AU168"/>
    <mergeCell ref="B176:C176"/>
    <mergeCell ref="D176:O176"/>
    <mergeCell ref="P176:W176"/>
    <mergeCell ref="X176:AE176"/>
    <mergeCell ref="AF176:AM176"/>
    <mergeCell ref="AN176:AU176"/>
    <mergeCell ref="AV176:BC176"/>
    <mergeCell ref="AB171:AD171"/>
    <mergeCell ref="AE171:AU171"/>
    <mergeCell ref="AV171:BC171"/>
    <mergeCell ref="BD176:BK176"/>
    <mergeCell ref="AB178:AD178"/>
    <mergeCell ref="AE178:AU178"/>
    <mergeCell ref="AV178:BC178"/>
    <mergeCell ref="BD178:BH178"/>
    <mergeCell ref="BI178:BK178"/>
    <mergeCell ref="AN175:AU175"/>
    <mergeCell ref="AV175:BC175"/>
    <mergeCell ref="BD175:BK175"/>
    <mergeCell ref="AW182:BD182"/>
    <mergeCell ref="BE182:BL182"/>
    <mergeCell ref="C183:D183"/>
    <mergeCell ref="E183:P183"/>
    <mergeCell ref="Q183:X183"/>
    <mergeCell ref="Y183:AF183"/>
    <mergeCell ref="AG183:AN183"/>
    <mergeCell ref="AO183:AV183"/>
    <mergeCell ref="AW183:BD183"/>
    <mergeCell ref="BE183:BL183"/>
    <mergeCell ref="C182:D182"/>
    <mergeCell ref="E182:P182"/>
    <mergeCell ref="Q182:X182"/>
    <mergeCell ref="Y182:AF182"/>
    <mergeCell ref="AG182:AN182"/>
    <mergeCell ref="AO182:AV182"/>
    <mergeCell ref="AW184:BD184"/>
    <mergeCell ref="BE184:BL184"/>
    <mergeCell ref="C185:D185"/>
    <mergeCell ref="E185:P185"/>
    <mergeCell ref="Q185:X185"/>
    <mergeCell ref="Y185:AF185"/>
    <mergeCell ref="AG185:AN185"/>
    <mergeCell ref="AO185:AV185"/>
    <mergeCell ref="AW185:BD185"/>
    <mergeCell ref="BE185:BL185"/>
    <mergeCell ref="C184:D184"/>
    <mergeCell ref="E184:P184"/>
    <mergeCell ref="Q184:X184"/>
    <mergeCell ref="Y184:AF184"/>
    <mergeCell ref="AG184:AN184"/>
    <mergeCell ref="AO184:AV184"/>
    <mergeCell ref="AW186:BD186"/>
    <mergeCell ref="BE186:BL186"/>
    <mergeCell ref="C187:D187"/>
    <mergeCell ref="E187:P187"/>
    <mergeCell ref="Q187:X187"/>
    <mergeCell ref="Y187:AF187"/>
    <mergeCell ref="AG187:AN187"/>
    <mergeCell ref="AO187:AV187"/>
    <mergeCell ref="AW187:BD187"/>
    <mergeCell ref="BE187:BL187"/>
    <mergeCell ref="C186:D186"/>
    <mergeCell ref="E186:P186"/>
    <mergeCell ref="Q186:X186"/>
    <mergeCell ref="Y186:AF186"/>
    <mergeCell ref="AG186:AN186"/>
    <mergeCell ref="AO186:AV186"/>
    <mergeCell ref="AW188:BD188"/>
    <mergeCell ref="BE188:BL188"/>
    <mergeCell ref="C189:D189"/>
    <mergeCell ref="E189:P189"/>
    <mergeCell ref="Q189:X189"/>
    <mergeCell ref="Y189:AF189"/>
    <mergeCell ref="AG189:AN189"/>
    <mergeCell ref="AO189:AV189"/>
    <mergeCell ref="AW189:BD189"/>
    <mergeCell ref="BE189:BL189"/>
    <mergeCell ref="C188:D188"/>
    <mergeCell ref="E188:P188"/>
    <mergeCell ref="Q188:X188"/>
    <mergeCell ref="Y188:AF188"/>
    <mergeCell ref="AG188:AN188"/>
    <mergeCell ref="AO188:AV188"/>
    <mergeCell ref="AW190:BD190"/>
    <mergeCell ref="BE190:BL190"/>
    <mergeCell ref="C191:D191"/>
    <mergeCell ref="E191:P191"/>
    <mergeCell ref="Q191:X191"/>
    <mergeCell ref="Y191:AF191"/>
    <mergeCell ref="AG191:AN191"/>
    <mergeCell ref="AO191:AV191"/>
    <mergeCell ref="AW191:BD191"/>
    <mergeCell ref="BE191:BL191"/>
    <mergeCell ref="C190:D190"/>
    <mergeCell ref="E190:P190"/>
    <mergeCell ref="Q190:X190"/>
    <mergeCell ref="Y190:AF190"/>
    <mergeCell ref="AG190:AN190"/>
    <mergeCell ref="AO190:AV190"/>
    <mergeCell ref="AW192:BD192"/>
    <mergeCell ref="BE192:BL192"/>
    <mergeCell ref="AB194:AD194"/>
    <mergeCell ref="AE194:AU194"/>
    <mergeCell ref="AV194:BC194"/>
    <mergeCell ref="BD194:BH194"/>
    <mergeCell ref="BI194:BK194"/>
    <mergeCell ref="C192:D192"/>
    <mergeCell ref="E192:P192"/>
    <mergeCell ref="Q192:X192"/>
    <mergeCell ref="Y192:AF192"/>
    <mergeCell ref="AG192:AN192"/>
    <mergeCell ref="AO192:AV192"/>
    <mergeCell ref="BE198:BL198"/>
    <mergeCell ref="B199:C199"/>
    <mergeCell ref="D199:U199"/>
    <mergeCell ref="V199:AC199"/>
    <mergeCell ref="AD199:AK199"/>
    <mergeCell ref="AL199:AV199"/>
    <mergeCell ref="AW199:BD199"/>
    <mergeCell ref="BE199:BL199"/>
    <mergeCell ref="B198:C198"/>
    <mergeCell ref="D198:U198"/>
    <mergeCell ref="V198:AC198"/>
    <mergeCell ref="AD198:AK198"/>
    <mergeCell ref="AL198:AV198"/>
    <mergeCell ref="AW198:BD198"/>
    <mergeCell ref="BE200:BL200"/>
    <mergeCell ref="B201:C201"/>
    <mergeCell ref="D201:U201"/>
    <mergeCell ref="V201:AC201"/>
    <mergeCell ref="AD201:AK201"/>
    <mergeCell ref="AL201:AV201"/>
    <mergeCell ref="AW201:BD201"/>
    <mergeCell ref="BE201:BL201"/>
    <mergeCell ref="B200:C200"/>
    <mergeCell ref="D200:U200"/>
    <mergeCell ref="V200:AC200"/>
    <mergeCell ref="AD200:AK200"/>
    <mergeCell ref="AL200:AV200"/>
    <mergeCell ref="AW200:BD200"/>
    <mergeCell ref="BE202:BL202"/>
    <mergeCell ref="B203:C203"/>
    <mergeCell ref="D203:U203"/>
    <mergeCell ref="V203:AC203"/>
    <mergeCell ref="AD203:AK203"/>
    <mergeCell ref="AL203:AV203"/>
    <mergeCell ref="AW203:BD203"/>
    <mergeCell ref="BE203:BL203"/>
    <mergeCell ref="B202:C202"/>
    <mergeCell ref="D202:U202"/>
    <mergeCell ref="V202:AC202"/>
    <mergeCell ref="AD202:AK202"/>
    <mergeCell ref="AL202:AV202"/>
    <mergeCell ref="AW202:BD202"/>
    <mergeCell ref="BE204:BL204"/>
    <mergeCell ref="B205:C205"/>
    <mergeCell ref="D205:U205"/>
    <mergeCell ref="V205:AC205"/>
    <mergeCell ref="AD205:AK205"/>
    <mergeCell ref="AL205:AV205"/>
    <mergeCell ref="AW205:BD205"/>
    <mergeCell ref="BE205:BL205"/>
    <mergeCell ref="B204:C204"/>
    <mergeCell ref="D204:U204"/>
    <mergeCell ref="V204:AC204"/>
    <mergeCell ref="AD204:AK204"/>
    <mergeCell ref="AL204:AV204"/>
    <mergeCell ref="AW204:BD204"/>
    <mergeCell ref="BE206:BL206"/>
    <mergeCell ref="B207:C207"/>
    <mergeCell ref="D207:U207"/>
    <mergeCell ref="V207:AC207"/>
    <mergeCell ref="AD207:AK207"/>
    <mergeCell ref="AL207:AV207"/>
    <mergeCell ref="AW207:BD207"/>
    <mergeCell ref="BE207:BL207"/>
    <mergeCell ref="B206:C206"/>
    <mergeCell ref="D206:U206"/>
    <mergeCell ref="V206:AC206"/>
    <mergeCell ref="AD206:AK206"/>
    <mergeCell ref="AL206:AV206"/>
    <mergeCell ref="AW206:BD206"/>
    <mergeCell ref="BE208:BL208"/>
    <mergeCell ref="B209:C209"/>
    <mergeCell ref="D209:U209"/>
    <mergeCell ref="V209:AC209"/>
    <mergeCell ref="AD209:AK209"/>
    <mergeCell ref="AL209:AV209"/>
    <mergeCell ref="AW209:BD209"/>
    <mergeCell ref="BE209:BL209"/>
    <mergeCell ref="B208:C208"/>
    <mergeCell ref="D208:U208"/>
    <mergeCell ref="V208:AC208"/>
    <mergeCell ref="AD208:AK208"/>
    <mergeCell ref="AL208:AV208"/>
    <mergeCell ref="AW208:BD208"/>
    <mergeCell ref="BE210:BL210"/>
    <mergeCell ref="B211:C211"/>
    <mergeCell ref="D211:U211"/>
    <mergeCell ref="V211:AC211"/>
    <mergeCell ref="AD211:AK211"/>
    <mergeCell ref="AL211:AV211"/>
    <mergeCell ref="AW211:BD211"/>
    <mergeCell ref="BE211:BL211"/>
    <mergeCell ref="B210:C210"/>
    <mergeCell ref="D210:U210"/>
    <mergeCell ref="V210:AC210"/>
    <mergeCell ref="AD210:AK210"/>
    <mergeCell ref="AL210:AV210"/>
    <mergeCell ref="AW210:BD210"/>
    <mergeCell ref="B215:D215"/>
    <mergeCell ref="E215:U215"/>
    <mergeCell ref="V215:AC215"/>
    <mergeCell ref="AD215:AK215"/>
    <mergeCell ref="AL215:AV215"/>
    <mergeCell ref="AW215:BD215"/>
    <mergeCell ref="BE212:BL212"/>
    <mergeCell ref="B213:C213"/>
    <mergeCell ref="D213:U213"/>
    <mergeCell ref="V213:AC213"/>
    <mergeCell ref="AD213:AK213"/>
    <mergeCell ref="AL213:AV213"/>
    <mergeCell ref="AW213:BD213"/>
    <mergeCell ref="BE213:BL213"/>
    <mergeCell ref="B212:C212"/>
    <mergeCell ref="D212:U212"/>
    <mergeCell ref="V212:AC212"/>
    <mergeCell ref="AD212:AK212"/>
    <mergeCell ref="AL212:AV212"/>
    <mergeCell ref="AW212:BD212"/>
    <mergeCell ref="BE215:BL215"/>
    <mergeCell ref="M217:X217"/>
    <mergeCell ref="Y217:AJ217"/>
    <mergeCell ref="AK217:AV217"/>
    <mergeCell ref="AW217:BH217"/>
    <mergeCell ref="E218:L218"/>
    <mergeCell ref="M218:X218"/>
    <mergeCell ref="Y218:AJ218"/>
    <mergeCell ref="AK218:AV218"/>
    <mergeCell ref="AW218:BH218"/>
    <mergeCell ref="E223:L223"/>
    <mergeCell ref="M223:X223"/>
    <mergeCell ref="Y223:AJ223"/>
    <mergeCell ref="AK223:AV223"/>
    <mergeCell ref="AW223:BH223"/>
    <mergeCell ref="E219:L219"/>
    <mergeCell ref="M219:X219"/>
    <mergeCell ref="Y219:AJ219"/>
    <mergeCell ref="AK219:AV219"/>
    <mergeCell ref="AW219:BH219"/>
    <mergeCell ref="E220:L222"/>
    <mergeCell ref="M220:X222"/>
    <mergeCell ref="Y220:AJ222"/>
    <mergeCell ref="AK220:AV222"/>
    <mergeCell ref="AW220:BH222"/>
  </mergeCells>
  <dataValidations count="23">
    <dataValidation allowBlank="1" showInputMessage="1" showErrorMessage="1" promptTitle="Tasa de Interés Anual" prompt="Introduzca la Tasa de Interés Anual, considerando la TIIE a 182 días (Verificar) + 4.04%" sqref="X155:AE155" xr:uid="{23D74265-82BF-4E81-900A-A0FCA9DAB463}"/>
    <dataValidation allowBlank="1" showInputMessage="1" showErrorMessage="1" promptTitle="Pasivos Contigentes" prompt="Introduzca el porcentaje considerado en el proyecto para cubrir, cualquier tipo de contigencia, reserva o incertidumbre en el mismo." sqref="BD169:BK169" xr:uid="{5625FB8F-D766-4DB7-8145-D9A60590F814}"/>
    <dataValidation allowBlank="1" showInputMessage="1" showErrorMessage="1" promptTitle="No comprobables" prompt="Introduzca el porcentaje considerado para cubrir gastos no comprobables en el proyecto" sqref="AV169:BC169" xr:uid="{C5A61B71-8BE7-41FB-A644-2585ED9DE4FA}"/>
    <dataValidation allowBlank="1" showInputMessage="1" showErrorMessage="1" promptTitle="Aportación a Sindicatos" prompt="Introduzca el porcentaje considerado, para cubrir gastos de afiliación del personal de proyecto a Sindicato" sqref="AN169:AU169" xr:uid="{1AF24C2E-3F76-4241-B5A5-A0B5FAD6C12B}"/>
    <dataValidation allowBlank="1" showInputMessage="1" showErrorMessage="1" promptTitle="Supervisión Externa" prompt="Introduzca el porcentaje considerado en el proyecto, para cubrir supervisión de Dependencias o Entidades al mismo_x000a_." sqref="AF169:AM169" xr:uid="{9FE1052C-7962-4364-A7C8-AEAD3CCC7467}"/>
    <dataValidation allowBlank="1" showInputMessage="1" showErrorMessage="1" promptTitle="Impuestos Federales" prompt="Introduzca el porcentaje considerado en el proyecto, para cubrir impuestos federales, considerados de manera general en todos los proyectos." sqref="X169:AE169" xr:uid="{38907BDC-14BD-4AD6-B29F-79B4F4DEEA44}"/>
    <dataValidation allowBlank="1" showInputMessage="1" showErrorMessage="1" promptTitle="Impuestos Locales" prompt="Introduzca el porcentaje considerado en el proyecto, para cubrir impuestos locales propios de la ubicación del mismo." sqref="P169:W169" xr:uid="{8E15BBD6-A79A-4D4C-B311-631D0A1B849D}"/>
    <dataValidation allowBlank="1" showInputMessage="1" showErrorMessage="1" promptTitle="P.T.U." prompt="Introduzca el porcentaje de Repartición para Participación de los Trabajadores en la Utilidad, considerada en el proyecto" sqref="AF162:AM162" xr:uid="{8CA263C3-230A-4502-89D1-9318B5E0B7E7}"/>
    <dataValidation allowBlank="1" showInputMessage="1" showErrorMessage="1" promptTitle="Impuesto sobre la Renta" prompt="Introduzca el I.S.R. considerado para el proyecto (Confirmar con Contabilidad)_x000a_" sqref="X162:AE162" xr:uid="{17EECA47-4D0D-4FD6-8867-BC69C6DD695B}"/>
    <dataValidation allowBlank="1" showInputMessage="1" showErrorMessage="1" promptTitle="Utilidad Propuesta (Neta)" prompt="Introduzca el porcentaje de Utilidad Neta (Después de descuentos) considerada para el proyecto_x000a_" sqref="P162:W162" xr:uid="{9E398A53-4DE9-418F-A3C6-D17141FEDB07}"/>
    <dataValidation allowBlank="1" showInputMessage="1" showErrorMessage="1" promptTitle="%Afianzado/asegurado" prompt="Ingrese el monto a afianzar o asegurar de acuerdo a las bases de concurso y/o modelo de contrato" sqref="Y183:AF192" xr:uid="{66412FC4-CF64-4511-B93A-FEE23FCBF247}"/>
    <dataValidation allowBlank="1" showInputMessage="1" showErrorMessage="1" promptTitle="Otros Gastos" prompt="Ingrese el monto considerado por otros gastos generados del arrendamiento_x000a_" sqref="AN139:AU146 AN83:AU87 AV63:BC76 AN108:AU112" xr:uid="{79BDF1B6-570F-4DCA-9407-7F97B85C1CF1}"/>
    <dataValidation allowBlank="1" showInputMessage="1" showErrorMessage="1" promptTitle="Traslados" prompt="Ingrese el monto considerado por traslados a obra" sqref="AN63:AU76" xr:uid="{5E2CFAB5-08EC-40F0-8683-94004A4BB581}"/>
    <dataValidation allowBlank="1" showInputMessage="1" showErrorMessage="1" promptTitle="Número de Personal" prompt="Ingrese el número de trabajadores que participan en la programación de la categoría seleccionada, de forma mensual_x000a_" sqref="AB52:AI54 AF129:AM132 AF119:AM122" xr:uid="{1CB5615B-0D1B-4145-A674-CB869F9AC9C7}"/>
    <dataValidation allowBlank="1" showInputMessage="1" showErrorMessage="1" promptTitle="Número de Unidades" prompt="Ingrese el número de unidades que participan en la programación de la categoría seleccionada, de forma mensual_x000a_" sqref="X63:AE76 AF139:AM146 AF108:AM112 AN119:AU122 AN129:AU132 AF94:AU101" xr:uid="{08D98B2A-DCA3-4510-9C5F-172C9E0CC73B}"/>
    <dataValidation allowBlank="1" showInputMessage="1" showErrorMessage="1" promptTitle="Número de Eventos" prompt="Ingrese el número de veces que se considerará la participación del gasto de la categoría seleccionada, a lo largo del proyecto" sqref="AF83:AM87 AR52:AY54" xr:uid="{31F4B359-E681-4B3F-B3FD-981C1DE65CDA}"/>
    <dataValidation allowBlank="1" showInputMessage="1" showErrorMessage="1" promptTitle="Provisión Mensual" prompt="Ingrese el gasto antes de I.V.A., programado para la categoría seleccionada, de forma mensual" sqref="T52:AA54 X139:AE146 X83:AE87 X94:AE101 X108:AE112 X119:AE122 X129:AE132 P63:W76" xr:uid="{99A46FC8-EAF4-45A2-8F91-61EE19E1A993}"/>
    <dataValidation allowBlank="1" showInputMessage="1" showErrorMessage="1" promptTitle="Otras Prestaciones" prompt="Ingrese las prestaciones superiores a las establecidas por LFT, asignadas mensualmente (Opcional)_x000a_" sqref="AN36:AU45 AN20:AU29" xr:uid="{9D47CFD9-79B6-4334-9882-59D76F3AFF69}"/>
    <dataValidation allowBlank="1" showInputMessage="1" showErrorMessage="1" promptTitle="Participación (Meses)" prompt="Ingrese la participación que tendrá el trabajador en el proyecto, indicada en meses" sqref="AF63:AM76 AJ52:AQ54 AV36:BC45 AV20:BC29" xr:uid="{C7C2CA78-A3E8-41AD-9221-4A5D37D09FA0}"/>
    <dataValidation allowBlank="1" showInputMessage="1" showErrorMessage="1" promptTitle="Factor de Salario Real" prompt="Ingrese el Factor aplicable a Administración (Verificar con Contabilidad)" sqref="X36:AE45 X20:AE29" xr:uid="{419C77B5-933F-43D7-A62D-499E07A244D6}"/>
    <dataValidation allowBlank="1" showInputMessage="1" showErrorMessage="1" promptTitle="Salario Mensual" prompt="Ingrese la cantidad percibida neta del trabajador" sqref="P36:W45 P20:W29" xr:uid="{24354EBA-2BCC-40DB-A9B9-FE681BFFB4AC}"/>
    <dataValidation type="list" allowBlank="1" showInputMessage="1" showErrorMessage="1" errorTitle="Error" error="La categoría ingresada no es valida" promptTitle="Categoría" prompt="Escriba la categoría del personal que participa" sqref="D36:O45" xr:uid="{0623FEDD-F6D5-4072-9785-28D069E2836B}">
      <formula1>$CD$19:$CD$26</formula1>
    </dataValidation>
    <dataValidation type="list" allowBlank="1" showInputMessage="1" showErrorMessage="1" errorTitle="Error" error="La categoría ingresada no es valida" promptTitle="Categoria " prompt="Escriba la categoría del personal que participa" sqref="D20:O29" xr:uid="{C0E37B84-6135-4470-BCD4-B2C7090C97CF}">
      <formula1>$CA$19:$CA$29</formula1>
    </dataValidation>
  </dataValidations>
  <pageMargins left="0.23622047244094491" right="0.23622047244094491" top="0.39" bottom="0.68" header="0.31496062992125984" footer="0.31496062992125984"/>
  <pageSetup scale="46" fitToHeight="0" orientation="portrait" r:id="rId1"/>
  <headerFooter>
    <oddFooter>&amp;L&amp;"Swis721 Cn BT,Roman"&amp;10F-00.05.26.07.23-001&amp;C&amp;"Swis721 Cn BT,Roman"&amp;10Análisis, Cálculo e Integración de Sobrecosto&amp;R&amp;"Swis721 Cn BT,Roman"&amp;10Página &amp;P de &amp;N</oddFooter>
  </headerFooter>
  <rowBreaks count="1" manualBreakCount="1">
    <brk id="89" max="64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9FC8-A3A8-42CD-9938-373DBE4FD9BA}">
  <sheetPr codeName="Hoja2">
    <tabColor rgb="FF333F4F"/>
    <pageSetUpPr fitToPage="1"/>
  </sheetPr>
  <dimension ref="A1:H1000"/>
  <sheetViews>
    <sheetView showGridLines="0" topLeftCell="A28" zoomScale="85" zoomScaleNormal="85" workbookViewId="0">
      <selection activeCell="E31" sqref="E31"/>
    </sheetView>
  </sheetViews>
  <sheetFormatPr baseColWidth="10" defaultColWidth="14.42578125" defaultRowHeight="15" customHeight="1"/>
  <cols>
    <col min="1" max="1" width="2.5703125" customWidth="1"/>
    <col min="2" max="3" width="14.140625" customWidth="1"/>
    <col min="4" max="4" width="50.42578125" customWidth="1"/>
    <col min="5" max="5" width="38.140625" customWidth="1"/>
    <col min="6" max="6" width="36.42578125" customWidth="1"/>
    <col min="7" max="7" width="47.7109375" customWidth="1"/>
    <col min="8" max="26" width="10.7109375" customWidth="1"/>
  </cols>
  <sheetData>
    <row r="1" spans="1:8" ht="15.75">
      <c r="A1" s="1"/>
      <c r="B1" s="1"/>
      <c r="C1" s="1"/>
      <c r="D1" s="1"/>
      <c r="E1" s="1"/>
      <c r="F1" s="1"/>
      <c r="G1" s="1"/>
      <c r="H1" s="1"/>
    </row>
    <row r="2" spans="1:8" ht="21.75" customHeight="1">
      <c r="A2" s="1"/>
      <c r="B2" s="2" t="s">
        <v>0</v>
      </c>
      <c r="C2" s="1"/>
      <c r="D2" s="1"/>
      <c r="E2" s="1"/>
      <c r="F2" s="1"/>
      <c r="G2" s="1"/>
      <c r="H2" s="1"/>
    </row>
    <row r="3" spans="1:8" ht="16.5">
      <c r="A3" s="1"/>
      <c r="B3" s="3" t="s">
        <v>1</v>
      </c>
      <c r="C3" s="1"/>
      <c r="D3" s="1"/>
      <c r="E3" s="1" t="s">
        <v>68</v>
      </c>
      <c r="F3" s="1"/>
      <c r="G3" s="1"/>
      <c r="H3" s="1"/>
    </row>
    <row r="4" spans="1:8" ht="15.75">
      <c r="A4" s="1"/>
      <c r="B4" s="1" t="s">
        <v>2</v>
      </c>
      <c r="C4" s="1"/>
      <c r="D4" s="1"/>
      <c r="E4" s="1"/>
      <c r="F4" s="1"/>
      <c r="G4" s="1"/>
      <c r="H4" s="1"/>
    </row>
    <row r="5" spans="1:8" ht="15.75">
      <c r="A5" s="1"/>
      <c r="B5" s="4"/>
      <c r="C5" s="4"/>
      <c r="D5" s="4"/>
      <c r="E5" s="4"/>
      <c r="F5" s="4"/>
      <c r="G5" s="4"/>
      <c r="H5" s="1"/>
    </row>
    <row r="6" spans="1:8" ht="12" customHeight="1">
      <c r="A6" s="1"/>
      <c r="B6" s="1"/>
      <c r="C6" s="1"/>
      <c r="D6" s="1"/>
      <c r="E6" s="1"/>
      <c r="F6" s="1"/>
      <c r="G6" s="1"/>
      <c r="H6" s="1"/>
    </row>
    <row r="7" spans="1:8" ht="15.75">
      <c r="A7" s="1"/>
      <c r="B7" s="5" t="s">
        <v>3</v>
      </c>
      <c r="C7" s="1"/>
      <c r="D7" s="1"/>
      <c r="E7" s="1"/>
      <c r="F7" s="1"/>
      <c r="G7" s="6" t="s">
        <v>4</v>
      </c>
      <c r="H7" s="1"/>
    </row>
    <row r="8" spans="1:8" ht="12" customHeight="1">
      <c r="A8" s="1"/>
      <c r="B8" s="1"/>
      <c r="C8" s="1"/>
      <c r="D8" s="1"/>
      <c r="E8" s="1"/>
      <c r="F8" s="1"/>
      <c r="G8" s="1"/>
      <c r="H8" s="1"/>
    </row>
    <row r="9" spans="1:8" ht="15.75">
      <c r="A9" s="1"/>
      <c r="B9" s="444" t="s">
        <v>5</v>
      </c>
      <c r="C9" s="445"/>
      <c r="D9" s="4">
        <f>'01_DATOS_GENERALES'!D9</f>
        <v>0</v>
      </c>
      <c r="E9" s="1"/>
      <c r="F9" s="7" t="s">
        <v>6</v>
      </c>
      <c r="G9" s="4">
        <f>'01_DATOS_GENERALES'!G9</f>
        <v>0</v>
      </c>
      <c r="H9" s="1"/>
    </row>
    <row r="10" spans="1:8" ht="6.75" customHeight="1">
      <c r="A10" s="1"/>
      <c r="B10" s="1"/>
      <c r="C10" s="1"/>
      <c r="D10" s="1"/>
      <c r="E10" s="1"/>
      <c r="F10" s="1"/>
      <c r="G10" s="1"/>
      <c r="H10" s="1"/>
    </row>
    <row r="11" spans="1:8" ht="15.75">
      <c r="A11" s="1"/>
      <c r="B11" s="444" t="s">
        <v>7</v>
      </c>
      <c r="C11" s="445"/>
      <c r="D11" s="4">
        <f>'01_DATOS_GENERALES'!D11</f>
        <v>0</v>
      </c>
      <c r="E11" s="1"/>
      <c r="F11" s="7" t="s">
        <v>8</v>
      </c>
      <c r="G11" s="245">
        <f>'01_DATOS_GENERALES'!G11</f>
        <v>0</v>
      </c>
      <c r="H11" s="1"/>
    </row>
    <row r="12" spans="1:8" ht="6.75" customHeight="1">
      <c r="A12" s="1"/>
      <c r="B12" s="1"/>
      <c r="C12" s="1"/>
      <c r="D12" s="1"/>
      <c r="E12" s="1"/>
      <c r="F12" s="1"/>
      <c r="G12" s="10"/>
      <c r="H12" s="1"/>
    </row>
    <row r="13" spans="1:8" ht="15.75">
      <c r="A13" s="1"/>
      <c r="B13" s="444" t="s">
        <v>9</v>
      </c>
      <c r="C13" s="445"/>
      <c r="D13" s="8">
        <f>B_PRESUPUESTO!B12</f>
        <v>0</v>
      </c>
      <c r="E13" s="1"/>
      <c r="F13" s="7" t="s">
        <v>10</v>
      </c>
      <c r="G13" s="9">
        <f>A_RESUMEN!D25</f>
        <v>9036322.1249106433</v>
      </c>
      <c r="H13" s="1"/>
    </row>
    <row r="14" spans="1:8" ht="6.75" customHeight="1">
      <c r="A14" s="1"/>
      <c r="B14" s="1"/>
      <c r="C14" s="1"/>
      <c r="D14" s="1"/>
      <c r="E14" s="1"/>
      <c r="F14" s="1"/>
      <c r="G14" s="1"/>
      <c r="H14" s="1"/>
    </row>
    <row r="15" spans="1:8" ht="15.75">
      <c r="A15" s="1"/>
      <c r="B15" s="444" t="s">
        <v>11</v>
      </c>
      <c r="C15" s="445"/>
      <c r="D15" s="64" t="s">
        <v>12</v>
      </c>
      <c r="E15" s="1"/>
      <c r="F15" s="7" t="s">
        <v>13</v>
      </c>
      <c r="G15" s="4">
        <f>'01_DATOS_GENERALES'!G13</f>
        <v>0</v>
      </c>
      <c r="H15" s="1"/>
    </row>
    <row r="16" spans="1:8" ht="6.75" customHeight="1">
      <c r="A16" s="1"/>
      <c r="B16" s="10"/>
      <c r="C16" s="10"/>
      <c r="D16" s="1"/>
      <c r="E16" s="1"/>
      <c r="F16" s="1"/>
      <c r="G16" s="1"/>
      <c r="H16" s="1"/>
    </row>
    <row r="17" spans="1:8" ht="15.75">
      <c r="A17" s="1"/>
      <c r="B17" s="444" t="s">
        <v>15</v>
      </c>
      <c r="C17" s="445"/>
      <c r="D17" s="4">
        <f>'01_DATOS_GENERALES'!G17</f>
        <v>0</v>
      </c>
      <c r="E17" s="1"/>
      <c r="F17" s="7" t="s">
        <v>16</v>
      </c>
      <c r="G17" s="4">
        <f>'01_DATOS_GENERALES'!G15</f>
        <v>0</v>
      </c>
      <c r="H17" s="1"/>
    </row>
    <row r="18" spans="1:8" ht="12" customHeight="1">
      <c r="A18" s="1"/>
      <c r="B18" s="1"/>
      <c r="C18" s="1"/>
      <c r="D18" s="1"/>
      <c r="E18" s="1"/>
      <c r="F18" s="1"/>
      <c r="G18" s="1"/>
      <c r="H18" s="1"/>
    </row>
    <row r="19" spans="1:8" ht="15.75">
      <c r="A19" s="1"/>
      <c r="B19" s="5" t="s">
        <v>17</v>
      </c>
      <c r="C19" s="1"/>
      <c r="D19" s="1"/>
      <c r="E19" s="1"/>
      <c r="F19" s="1"/>
      <c r="G19" s="11" t="s">
        <v>18</v>
      </c>
      <c r="H19" s="1"/>
    </row>
    <row r="20" spans="1:8" ht="12" customHeight="1">
      <c r="A20" s="1"/>
      <c r="B20" s="1"/>
      <c r="C20" s="1"/>
      <c r="D20" s="1"/>
      <c r="E20" s="1"/>
      <c r="F20" s="1"/>
      <c r="G20" s="1"/>
      <c r="H20" s="1"/>
    </row>
    <row r="21" spans="1:8" ht="24.75" customHeight="1">
      <c r="A21" s="1"/>
      <c r="B21" s="12" t="s">
        <v>19</v>
      </c>
      <c r="C21" s="12" t="s">
        <v>20</v>
      </c>
      <c r="D21" s="12" t="s">
        <v>21</v>
      </c>
      <c r="E21" s="12" t="s">
        <v>22</v>
      </c>
      <c r="F21" s="12" t="s">
        <v>23</v>
      </c>
      <c r="G21" s="12" t="s">
        <v>24</v>
      </c>
      <c r="H21" s="1"/>
    </row>
    <row r="22" spans="1:8" ht="6.75" customHeight="1">
      <c r="A22" s="1"/>
      <c r="B22" s="1"/>
      <c r="C22" s="1"/>
      <c r="D22" s="1"/>
      <c r="E22" s="1"/>
      <c r="F22" s="1"/>
      <c r="G22" s="1"/>
      <c r="H22" s="1"/>
    </row>
    <row r="23" spans="1:8" ht="15.75" customHeight="1">
      <c r="A23" s="1"/>
      <c r="B23" s="13">
        <v>1</v>
      </c>
      <c r="C23" s="14" t="s">
        <v>25</v>
      </c>
      <c r="D23" s="15" t="s">
        <v>26</v>
      </c>
      <c r="E23" s="16">
        <f>SUM(E24:E34)</f>
        <v>7264103.4100000001</v>
      </c>
      <c r="F23" s="17">
        <f>E23/$G$13</f>
        <v>0.80387831571152979</v>
      </c>
      <c r="G23" s="18"/>
      <c r="H23" s="1"/>
    </row>
    <row r="24" spans="1:8" ht="15.75" customHeight="1">
      <c r="A24" s="1"/>
      <c r="B24" s="19">
        <v>2</v>
      </c>
      <c r="C24" s="20">
        <v>1</v>
      </c>
      <c r="D24" s="7" t="s">
        <v>27</v>
      </c>
      <c r="E24" s="21">
        <f>SUMIFS('02_REF_TAB'!G1:G1014,'02_REF_TAB'!A1:A1014,"*MT-LI*")</f>
        <v>2417214.5499999998</v>
      </c>
      <c r="F24" s="22">
        <f t="shared" ref="F24:F26" si="0">E24/$G$13</f>
        <v>0.26749982089908098</v>
      </c>
      <c r="G24" s="23"/>
      <c r="H24" s="1"/>
    </row>
    <row r="25" spans="1:8" ht="15.75" customHeight="1">
      <c r="A25" s="1"/>
      <c r="B25" s="24">
        <v>3</v>
      </c>
      <c r="C25" s="25">
        <v>2</v>
      </c>
      <c r="D25" s="1" t="s">
        <v>28</v>
      </c>
      <c r="E25" s="26">
        <f>SUMIFS('02_REF_TAB'!G1:G1014,'02_REF_TAB'!A1:A1014,"*MT-EE*")</f>
        <v>278627.40000000002</v>
      </c>
      <c r="F25" s="27">
        <f>E25/$G$13</f>
        <v>3.0834159755316962E-2</v>
      </c>
      <c r="G25" s="28"/>
      <c r="H25" s="1"/>
    </row>
    <row r="26" spans="1:8" ht="15.75" customHeight="1">
      <c r="A26" s="1"/>
      <c r="B26" s="19">
        <v>4</v>
      </c>
      <c r="C26" s="20">
        <v>3</v>
      </c>
      <c r="D26" s="7" t="s">
        <v>29</v>
      </c>
      <c r="E26" s="21">
        <f>SUMIFS('02_REF_TAB'!G1:G655,'02_REF_TAB'!A1:A655,"*MT-TE*")</f>
        <v>1128385.19</v>
      </c>
      <c r="F26" s="22">
        <f t="shared" si="0"/>
        <v>0.12487217414365451</v>
      </c>
      <c r="G26" s="23"/>
      <c r="H26" s="1"/>
    </row>
    <row r="27" spans="1:8" ht="15.75" customHeight="1">
      <c r="A27" s="1"/>
      <c r="B27" s="24">
        <v>5</v>
      </c>
      <c r="C27" s="25">
        <v>4</v>
      </c>
      <c r="D27" s="1" t="s">
        <v>30</v>
      </c>
      <c r="E27" s="26">
        <f>SUMIFS('02_REF_TAB'!G1:G1014,'02_REF_TAB'!A1:A1014,"*MT-BPR*")</f>
        <v>1335.1</v>
      </c>
      <c r="F27" s="27">
        <f t="shared" ref="F27:F34" si="1">E27/$G$13</f>
        <v>1.4774816363833447E-4</v>
      </c>
      <c r="G27" s="28"/>
      <c r="H27" s="1"/>
    </row>
    <row r="28" spans="1:8" ht="15.75" customHeight="1">
      <c r="A28" s="1"/>
      <c r="B28" s="19">
        <v>6</v>
      </c>
      <c r="C28" s="20">
        <v>5</v>
      </c>
      <c r="D28" s="7" t="s">
        <v>31</v>
      </c>
      <c r="E28" s="21">
        <f>SUMIFS('02_REF_TAB'!G1:G655,'02_REF_TAB'!A1:A655,"*MT-ED*")</f>
        <v>2094354.45</v>
      </c>
      <c r="F28" s="22">
        <f t="shared" si="1"/>
        <v>0.23177067185624597</v>
      </c>
      <c r="G28" s="23"/>
      <c r="H28" s="1"/>
    </row>
    <row r="29" spans="1:8" ht="15.75" customHeight="1">
      <c r="A29" s="1"/>
      <c r="B29" s="24">
        <v>7</v>
      </c>
      <c r="C29" s="25">
        <v>6</v>
      </c>
      <c r="D29" s="1" t="s">
        <v>32</v>
      </c>
      <c r="E29" s="26">
        <f>SUMIFS('02_REF_TAB'!G1:G655,'02_REF_TAB'!A1:A655,"*%*")+7973.75</f>
        <v>253561.73000000004</v>
      </c>
      <c r="F29" s="27">
        <f t="shared" si="1"/>
        <v>2.8060280111197055E-2</v>
      </c>
      <c r="G29" s="28"/>
      <c r="H29" s="1"/>
    </row>
    <row r="30" spans="1:8" ht="15.75" customHeight="1">
      <c r="A30" s="1"/>
      <c r="B30" s="19">
        <v>8</v>
      </c>
      <c r="C30" s="20">
        <v>7</v>
      </c>
      <c r="D30" s="7" t="s">
        <v>33</v>
      </c>
      <c r="E30" s="21">
        <f>SUMIFS('02_REF_TAB'!G1:G655,'02_REF_TAB'!A1:A655,"*MO-*")+20.1</f>
        <v>932874.99</v>
      </c>
      <c r="F30" s="22">
        <f>E30/$G$13</f>
        <v>0.10323613712578056</v>
      </c>
      <c r="G30" s="23"/>
      <c r="H30" s="1"/>
    </row>
    <row r="31" spans="1:8" ht="15.75" customHeight="1">
      <c r="A31" s="1"/>
      <c r="B31" s="24">
        <v>9</v>
      </c>
      <c r="C31" s="25">
        <v>8</v>
      </c>
      <c r="D31" s="1" t="s">
        <v>34</v>
      </c>
      <c r="E31" s="26">
        <f>SUM(C_SOBRECOSTO!BD68:BK74)</f>
        <v>128750</v>
      </c>
      <c r="F31" s="27">
        <f t="shared" si="1"/>
        <v>1.424805338059738E-2</v>
      </c>
      <c r="G31" s="28"/>
      <c r="H31" s="1"/>
    </row>
    <row r="32" spans="1:8" ht="15.75" customHeight="1">
      <c r="A32" s="1"/>
      <c r="B32" s="19">
        <v>10</v>
      </c>
      <c r="C32" s="20">
        <v>9</v>
      </c>
      <c r="D32" s="7" t="s">
        <v>35</v>
      </c>
      <c r="E32" s="21">
        <f>C_SOBRECOSTO!AD205</f>
        <v>0</v>
      </c>
      <c r="F32" s="22">
        <f t="shared" si="1"/>
        <v>0</v>
      </c>
      <c r="G32" s="23" t="s">
        <v>36</v>
      </c>
      <c r="H32" s="1"/>
    </row>
    <row r="33" spans="1:8" ht="15.75" customHeight="1">
      <c r="A33" s="1"/>
      <c r="B33" s="24">
        <v>11</v>
      </c>
      <c r="C33" s="25">
        <v>10</v>
      </c>
      <c r="D33" s="1" t="s">
        <v>37</v>
      </c>
      <c r="E33" s="26">
        <f>C_SOBRECOSTO!AD203</f>
        <v>0</v>
      </c>
      <c r="F33" s="27">
        <f t="shared" si="1"/>
        <v>0</v>
      </c>
      <c r="G33" s="28" t="s">
        <v>36</v>
      </c>
      <c r="H33" s="1"/>
    </row>
    <row r="34" spans="1:8" ht="15.75" customHeight="1">
      <c r="A34" s="1"/>
      <c r="B34" s="29">
        <v>12</v>
      </c>
      <c r="C34" s="30">
        <v>11</v>
      </c>
      <c r="D34" s="58" t="s">
        <v>38</v>
      </c>
      <c r="E34" s="59">
        <f>C_SOBRECOSTO!AD204+C_SOBRECOSTO!AD206</f>
        <v>29000</v>
      </c>
      <c r="F34" s="60">
        <f t="shared" si="1"/>
        <v>3.209270276018051E-3</v>
      </c>
      <c r="G34" s="61" t="s">
        <v>36</v>
      </c>
      <c r="H34" s="1"/>
    </row>
    <row r="35" spans="1:8" ht="6.75" customHeight="1">
      <c r="A35" s="1"/>
      <c r="B35" s="34"/>
      <c r="C35" s="35"/>
      <c r="D35" s="1"/>
      <c r="E35" s="36"/>
      <c r="F35" s="27"/>
      <c r="G35" s="37"/>
      <c r="H35" s="1"/>
    </row>
    <row r="36" spans="1:8" ht="15.75" customHeight="1">
      <c r="A36" s="1"/>
      <c r="B36" s="13">
        <v>13</v>
      </c>
      <c r="C36" s="38" t="s">
        <v>39</v>
      </c>
      <c r="D36" s="15" t="s">
        <v>40</v>
      </c>
      <c r="E36" s="16">
        <f>SUM(E37:E44)</f>
        <v>974345.0163536421</v>
      </c>
      <c r="F36" s="17">
        <f t="shared" ref="F36:F44" si="2">E36/$G$13</f>
        <v>0.10782539653689881</v>
      </c>
      <c r="G36" s="18"/>
      <c r="H36" s="1"/>
    </row>
    <row r="37" spans="1:8" ht="15.75" customHeight="1">
      <c r="A37" s="1"/>
      <c r="B37" s="19">
        <v>14</v>
      </c>
      <c r="C37" s="39">
        <v>12</v>
      </c>
      <c r="D37" s="7" t="s">
        <v>41</v>
      </c>
      <c r="E37" s="21">
        <f>C_SOBRECOSTO!AD201</f>
        <v>335750</v>
      </c>
      <c r="F37" s="22">
        <f t="shared" si="2"/>
        <v>3.7155603281829673E-2</v>
      </c>
      <c r="G37" s="23"/>
      <c r="H37" s="1"/>
    </row>
    <row r="38" spans="1:8" ht="15.75" customHeight="1">
      <c r="A38" s="1"/>
      <c r="B38" s="24">
        <v>15</v>
      </c>
      <c r="C38" s="40">
        <v>13</v>
      </c>
      <c r="D38" s="1" t="s">
        <v>42</v>
      </c>
      <c r="E38" s="26">
        <f>SUM(C_SOBRECOSTO!BD63:BK66)</f>
        <v>129750</v>
      </c>
      <c r="F38" s="27">
        <f t="shared" si="2"/>
        <v>1.4358717872873865E-2</v>
      </c>
      <c r="G38" s="28"/>
      <c r="H38" s="1"/>
    </row>
    <row r="39" spans="1:8" ht="15.75" customHeight="1">
      <c r="A39" s="1"/>
      <c r="B39" s="19">
        <v>16</v>
      </c>
      <c r="C39" s="39">
        <v>14</v>
      </c>
      <c r="D39" s="7" t="s">
        <v>43</v>
      </c>
      <c r="E39" s="21">
        <f>SUM(C_SOBRECOSTO!BD67)</f>
        <v>0</v>
      </c>
      <c r="F39" s="22">
        <f t="shared" si="2"/>
        <v>0</v>
      </c>
      <c r="G39" s="23" t="s">
        <v>36</v>
      </c>
      <c r="H39" s="1"/>
    </row>
    <row r="40" spans="1:8" ht="15.75" customHeight="1">
      <c r="A40" s="1"/>
      <c r="B40" s="24">
        <v>17</v>
      </c>
      <c r="C40" s="40">
        <v>15</v>
      </c>
      <c r="D40" s="1" t="s">
        <v>44</v>
      </c>
      <c r="E40" s="26">
        <f>SUM(C_SOBRECOSTO!BD75:BK76)</f>
        <v>37500</v>
      </c>
      <c r="F40" s="27">
        <f t="shared" si="2"/>
        <v>4.1499184603681688E-3</v>
      </c>
      <c r="G40" s="28"/>
      <c r="H40" s="1"/>
    </row>
    <row r="41" spans="1:8" ht="15.75" customHeight="1">
      <c r="A41" s="1"/>
      <c r="B41" s="19">
        <v>18</v>
      </c>
      <c r="C41" s="39">
        <v>16</v>
      </c>
      <c r="D41" s="7" t="s">
        <v>45</v>
      </c>
      <c r="E41" s="21">
        <f>C_SOBRECOSTO!AD208</f>
        <v>30000</v>
      </c>
      <c r="F41" s="22">
        <f t="shared" si="2"/>
        <v>3.3199347682945353E-3</v>
      </c>
      <c r="G41" s="23"/>
      <c r="H41" s="1"/>
    </row>
    <row r="42" spans="1:8" ht="15.75" customHeight="1">
      <c r="A42" s="1"/>
      <c r="B42" s="24">
        <v>19</v>
      </c>
      <c r="C42" s="40">
        <v>17</v>
      </c>
      <c r="D42" s="1" t="s">
        <v>46</v>
      </c>
      <c r="E42" s="26">
        <f>C_SOBRECOSTO!AD207</f>
        <v>40000</v>
      </c>
      <c r="F42" s="27">
        <f t="shared" si="2"/>
        <v>4.4265796910593807E-3</v>
      </c>
      <c r="G42" s="28"/>
      <c r="H42" s="1"/>
    </row>
    <row r="43" spans="1:8" ht="15.75" customHeight="1">
      <c r="A43" s="1"/>
      <c r="B43" s="19">
        <v>20</v>
      </c>
      <c r="C43" s="39">
        <v>18</v>
      </c>
      <c r="D43" s="7" t="s">
        <v>47</v>
      </c>
      <c r="E43" s="21">
        <f>C_SOBRECOSTO!AD213</f>
        <v>81268.488503642162</v>
      </c>
      <c r="F43" s="22">
        <f t="shared" si="2"/>
        <v>8.9935360183328785E-3</v>
      </c>
      <c r="G43" s="23"/>
      <c r="H43" s="1"/>
    </row>
    <row r="44" spans="1:8" ht="15.75" customHeight="1">
      <c r="A44" s="1"/>
      <c r="B44" s="41">
        <v>21</v>
      </c>
      <c r="C44" s="42">
        <v>19</v>
      </c>
      <c r="D44" s="4" t="s">
        <v>48</v>
      </c>
      <c r="E44" s="31">
        <f>C_SOBRECOSTO!AD212</f>
        <v>320076.52784999995</v>
      </c>
      <c r="F44" s="32">
        <f t="shared" si="2"/>
        <v>3.5421106444140302E-2</v>
      </c>
      <c r="G44" s="33"/>
      <c r="H44" s="1"/>
    </row>
    <row r="45" spans="1:8" ht="6.75" customHeight="1">
      <c r="A45" s="1"/>
      <c r="B45" s="34"/>
      <c r="C45" s="35"/>
      <c r="D45" s="1"/>
      <c r="E45" s="36"/>
      <c r="F45" s="27"/>
      <c r="G45" s="43"/>
      <c r="H45" s="1"/>
    </row>
    <row r="46" spans="1:8" ht="15.75" customHeight="1">
      <c r="A46" s="1"/>
      <c r="B46" s="44">
        <v>22</v>
      </c>
      <c r="C46" s="45" t="s">
        <v>49</v>
      </c>
      <c r="D46" s="46" t="s">
        <v>50</v>
      </c>
      <c r="E46" s="47">
        <f>C_SOBRECOSTO!AD209</f>
        <v>0</v>
      </c>
      <c r="F46" s="48">
        <f>E46/$G$13</f>
        <v>0</v>
      </c>
      <c r="G46" s="49" t="s">
        <v>36</v>
      </c>
      <c r="H46" s="1"/>
    </row>
    <row r="47" spans="1:8" ht="6.75" customHeight="1">
      <c r="A47" s="1"/>
      <c r="B47" s="34"/>
      <c r="C47" s="50"/>
      <c r="D47" s="51"/>
      <c r="E47" s="52"/>
      <c r="F47" s="53"/>
      <c r="G47" s="37"/>
      <c r="H47" s="1"/>
    </row>
    <row r="48" spans="1:8" ht="15.75" customHeight="1">
      <c r="A48" s="1"/>
      <c r="B48" s="44">
        <v>23</v>
      </c>
      <c r="C48" s="45" t="s">
        <v>51</v>
      </c>
      <c r="D48" s="46" t="s">
        <v>52</v>
      </c>
      <c r="E48" s="47">
        <f>C_SOBRECOSTO!AD210</f>
        <v>705920.55570000003</v>
      </c>
      <c r="F48" s="48">
        <f>E48/$G$13</f>
        <v>7.8120339884074311E-2</v>
      </c>
      <c r="G48" s="49"/>
      <c r="H48" s="1"/>
    </row>
    <row r="49" spans="1:8" ht="6.75" customHeight="1">
      <c r="A49" s="1"/>
      <c r="B49" s="34"/>
      <c r="C49" s="50"/>
      <c r="D49" s="51"/>
      <c r="E49" s="52"/>
      <c r="F49" s="53"/>
      <c r="G49" s="37"/>
      <c r="H49" s="1"/>
    </row>
    <row r="50" spans="1:8" ht="15.75" customHeight="1">
      <c r="A50" s="1"/>
      <c r="B50" s="44">
        <v>24</v>
      </c>
      <c r="C50" s="45" t="s">
        <v>53</v>
      </c>
      <c r="D50" s="46" t="s">
        <v>54</v>
      </c>
      <c r="E50" s="47">
        <f>C_SOBRECOSTO!AD211</f>
        <v>85494.822857000006</v>
      </c>
      <c r="F50" s="48">
        <f>E50/$G$13</f>
        <v>9.4612411637378883E-3</v>
      </c>
      <c r="G50" s="49"/>
      <c r="H50" s="1"/>
    </row>
    <row r="51" spans="1:8" ht="12" customHeight="1">
      <c r="A51" s="1"/>
      <c r="B51" s="54"/>
      <c r="C51" s="1"/>
      <c r="D51" s="1"/>
      <c r="E51" s="36"/>
      <c r="F51" s="1"/>
      <c r="G51" s="54"/>
      <c r="H51" s="1"/>
    </row>
    <row r="52" spans="1:8" ht="22.5" customHeight="1">
      <c r="A52" s="1"/>
      <c r="B52" s="54"/>
      <c r="C52" s="51"/>
      <c r="D52" s="55" t="s">
        <v>55</v>
      </c>
      <c r="E52" s="56">
        <f>E23+E36+E46+E48+E50</f>
        <v>9029863.804910643</v>
      </c>
      <c r="F52" s="57">
        <f>E52/$G$13</f>
        <v>0.99928529329624094</v>
      </c>
      <c r="G52" s="10"/>
      <c r="H52" s="1"/>
    </row>
    <row r="53" spans="1:8" ht="15.75" customHeight="1">
      <c r="A53" s="1"/>
      <c r="B53" s="54"/>
      <c r="C53" s="1"/>
      <c r="D53" s="1"/>
      <c r="E53" s="1"/>
      <c r="F53" s="1"/>
      <c r="G53" s="1"/>
      <c r="H53" s="1"/>
    </row>
    <row r="54" spans="1:8" ht="15.75" customHeight="1">
      <c r="A54" s="1"/>
      <c r="B54" s="54"/>
      <c r="C54" s="1"/>
      <c r="D54" s="1"/>
      <c r="E54" s="36"/>
      <c r="F54" s="1"/>
      <c r="G54" s="1"/>
      <c r="H54" s="1"/>
    </row>
    <row r="55" spans="1:8" ht="15.75" customHeight="1">
      <c r="A55" s="1"/>
      <c r="B55" s="54"/>
      <c r="C55" s="1"/>
      <c r="D55" s="1"/>
      <c r="E55" s="1"/>
      <c r="F55" s="1"/>
      <c r="G55" s="1"/>
      <c r="H55" s="1"/>
    </row>
    <row r="56" spans="1:8" ht="15.75" customHeight="1">
      <c r="A56" s="1"/>
      <c r="B56" s="54"/>
      <c r="C56" s="1"/>
      <c r="D56" s="1"/>
      <c r="E56" s="1"/>
      <c r="F56" s="1"/>
      <c r="G56" s="1"/>
      <c r="H56" s="1"/>
    </row>
    <row r="57" spans="1:8" ht="15.75" customHeight="1">
      <c r="A57" s="1"/>
      <c r="B57" s="1"/>
      <c r="C57" s="1"/>
      <c r="D57" s="1"/>
      <c r="E57" s="36"/>
      <c r="F57" s="1"/>
      <c r="G57" s="1"/>
      <c r="H57" s="1"/>
    </row>
    <row r="58" spans="1:8" ht="15.75" customHeight="1">
      <c r="A58" s="1"/>
      <c r="B58" s="1"/>
      <c r="C58" s="1"/>
      <c r="D58" s="1"/>
      <c r="E58" s="1"/>
      <c r="F58" s="1"/>
      <c r="G58" s="1"/>
      <c r="H58" s="1"/>
    </row>
    <row r="59" spans="1:8" ht="15.75" customHeight="1">
      <c r="A59" s="1"/>
      <c r="B59" s="1"/>
      <c r="C59" s="1"/>
      <c r="D59" s="1"/>
      <c r="E59" s="1"/>
      <c r="F59" s="1"/>
      <c r="G59" s="1"/>
      <c r="H59" s="1"/>
    </row>
    <row r="60" spans="1:8" ht="15.75" customHeight="1">
      <c r="A60" s="1"/>
      <c r="B60" s="1"/>
      <c r="C60" s="1"/>
      <c r="D60" s="1"/>
      <c r="E60" s="1"/>
      <c r="F60" s="1"/>
      <c r="G60" s="1"/>
      <c r="H60" s="1"/>
    </row>
    <row r="61" spans="1:8" ht="15.75" customHeight="1">
      <c r="A61" s="1"/>
      <c r="B61" s="1"/>
      <c r="C61" s="1"/>
      <c r="D61" s="1"/>
      <c r="E61" s="1"/>
      <c r="F61" s="1"/>
      <c r="G61" s="1"/>
      <c r="H61" s="1"/>
    </row>
    <row r="62" spans="1:8" ht="15.75" customHeight="1">
      <c r="A62" s="1"/>
      <c r="B62" s="1"/>
      <c r="C62" s="1"/>
      <c r="D62" s="1"/>
      <c r="E62" s="1"/>
      <c r="F62" s="1"/>
      <c r="G62" s="1"/>
      <c r="H62" s="1"/>
    </row>
    <row r="63" spans="1:8" ht="15.75" customHeight="1">
      <c r="A63" s="1"/>
      <c r="B63" s="1"/>
      <c r="C63" s="1"/>
      <c r="D63" s="1"/>
      <c r="E63" s="1"/>
      <c r="F63" s="1"/>
      <c r="G63" s="1"/>
      <c r="H63" s="1"/>
    </row>
    <row r="64" spans="1:8" ht="15.75" customHeight="1">
      <c r="A64" s="1"/>
      <c r="B64" s="1"/>
      <c r="C64" s="1"/>
      <c r="D64" s="1"/>
      <c r="E64" s="1"/>
      <c r="F64" s="1"/>
      <c r="G64" s="1"/>
      <c r="H64" s="1"/>
    </row>
    <row r="65" spans="1:8" ht="15.75" customHeight="1">
      <c r="A65" s="1"/>
      <c r="B65" s="1"/>
      <c r="C65" s="1"/>
      <c r="D65" s="1"/>
      <c r="E65" s="1"/>
      <c r="F65" s="1"/>
      <c r="G65" s="1"/>
      <c r="H65" s="1"/>
    </row>
    <row r="66" spans="1:8" ht="15.75" customHeight="1">
      <c r="A66" s="1"/>
      <c r="B66" s="1"/>
      <c r="C66" s="1"/>
      <c r="D66" s="1"/>
      <c r="E66" s="1"/>
      <c r="F66" s="1"/>
      <c r="G66" s="1"/>
      <c r="H66" s="1"/>
    </row>
    <row r="67" spans="1:8" ht="15.75" customHeight="1">
      <c r="A67" s="1"/>
      <c r="B67" s="1"/>
      <c r="C67" s="1"/>
      <c r="D67" s="1"/>
      <c r="E67" s="1"/>
      <c r="F67" s="1"/>
      <c r="G67" s="1"/>
      <c r="H67" s="1"/>
    </row>
    <row r="68" spans="1:8" ht="15.75" customHeight="1">
      <c r="A68" s="1"/>
      <c r="B68" s="1"/>
      <c r="C68" s="1"/>
      <c r="D68" s="1"/>
      <c r="E68" s="1"/>
      <c r="F68" s="1"/>
      <c r="G68" s="1"/>
      <c r="H68" s="1"/>
    </row>
    <row r="69" spans="1:8" ht="15.75" customHeight="1">
      <c r="A69" s="1"/>
      <c r="B69" s="1"/>
      <c r="C69" s="1"/>
      <c r="D69" s="1"/>
      <c r="E69" s="1"/>
      <c r="F69" s="1"/>
      <c r="G69" s="1"/>
      <c r="H69" s="1"/>
    </row>
    <row r="70" spans="1:8" ht="15.75" customHeight="1">
      <c r="A70" s="1"/>
      <c r="B70" s="1"/>
      <c r="C70" s="1"/>
      <c r="D70" s="1"/>
      <c r="E70" s="1"/>
      <c r="F70" s="1"/>
      <c r="G70" s="1"/>
      <c r="H70" s="1"/>
    </row>
    <row r="71" spans="1:8" ht="15.75" customHeight="1">
      <c r="A71" s="1"/>
      <c r="B71" s="1"/>
      <c r="C71" s="1"/>
      <c r="D71" s="1"/>
      <c r="E71" s="1"/>
      <c r="F71" s="1"/>
      <c r="G71" s="1"/>
      <c r="H71" s="1"/>
    </row>
    <row r="72" spans="1:8" ht="15.75" customHeight="1">
      <c r="A72" s="1"/>
      <c r="B72" s="1"/>
      <c r="C72" s="1"/>
      <c r="D72" s="1"/>
      <c r="E72" s="1"/>
      <c r="F72" s="1"/>
      <c r="G72" s="1"/>
      <c r="H72" s="1"/>
    </row>
    <row r="73" spans="1:8" ht="15.75" customHeight="1">
      <c r="A73" s="1"/>
      <c r="B73" s="1"/>
      <c r="C73" s="1"/>
      <c r="D73" s="1"/>
      <c r="E73" s="1"/>
      <c r="F73" s="1"/>
      <c r="G73" s="1"/>
      <c r="H73" s="1"/>
    </row>
    <row r="74" spans="1:8" ht="15.75" customHeight="1">
      <c r="A74" s="1"/>
      <c r="B74" s="1"/>
      <c r="C74" s="1"/>
      <c r="D74" s="1"/>
      <c r="E74" s="1"/>
      <c r="F74" s="1"/>
      <c r="G74" s="1"/>
      <c r="H74" s="1"/>
    </row>
    <row r="75" spans="1:8" ht="15.75" customHeight="1">
      <c r="A75" s="1"/>
      <c r="B75" s="1"/>
      <c r="C75" s="1"/>
      <c r="D75" s="1"/>
      <c r="E75" s="1"/>
      <c r="F75" s="1"/>
      <c r="G75" s="1"/>
      <c r="H75" s="1"/>
    </row>
    <row r="76" spans="1:8" ht="15.75" customHeight="1">
      <c r="A76" s="1"/>
      <c r="B76" s="1"/>
      <c r="C76" s="1"/>
      <c r="D76" s="1"/>
      <c r="E76" s="1"/>
      <c r="F76" s="1"/>
      <c r="G76" s="1"/>
      <c r="H76" s="1"/>
    </row>
    <row r="77" spans="1:8" ht="15.75" customHeight="1">
      <c r="A77" s="1"/>
      <c r="B77" s="1"/>
      <c r="C77" s="1"/>
      <c r="D77" s="1"/>
      <c r="E77" s="1"/>
      <c r="F77" s="1"/>
      <c r="G77" s="1"/>
      <c r="H77" s="1"/>
    </row>
    <row r="78" spans="1:8" ht="15.75" customHeight="1">
      <c r="A78" s="1"/>
      <c r="B78" s="1"/>
      <c r="C78" s="1"/>
      <c r="D78" s="1"/>
      <c r="E78" s="1"/>
      <c r="F78" s="1"/>
      <c r="G78" s="1"/>
      <c r="H78" s="1"/>
    </row>
    <row r="79" spans="1:8" ht="15.75" customHeight="1">
      <c r="A79" s="1"/>
      <c r="B79" s="1"/>
      <c r="C79" s="1"/>
      <c r="D79" s="1"/>
      <c r="E79" s="1"/>
      <c r="F79" s="1"/>
      <c r="G79" s="1"/>
      <c r="H79" s="1"/>
    </row>
    <row r="80" spans="1:8" ht="15.75" customHeight="1">
      <c r="A80" s="1"/>
      <c r="B80" s="1"/>
      <c r="C80" s="1"/>
      <c r="D80" s="1"/>
      <c r="E80" s="1"/>
      <c r="F80" s="1"/>
      <c r="G80" s="1"/>
      <c r="H80" s="1"/>
    </row>
    <row r="81" spans="1:8" ht="15.75" customHeight="1">
      <c r="A81" s="1"/>
      <c r="B81" s="1"/>
      <c r="C81" s="1"/>
      <c r="D81" s="1"/>
      <c r="E81" s="1"/>
      <c r="F81" s="1"/>
      <c r="G81" s="1"/>
      <c r="H81" s="1"/>
    </row>
    <row r="82" spans="1:8" ht="15.75" customHeight="1">
      <c r="A82" s="1"/>
      <c r="B82" s="1"/>
      <c r="C82" s="1"/>
      <c r="D82" s="1"/>
      <c r="E82" s="1"/>
      <c r="F82" s="1"/>
      <c r="G82" s="1"/>
      <c r="H82" s="1"/>
    </row>
    <row r="83" spans="1:8" ht="15.75" customHeight="1">
      <c r="A83" s="1"/>
      <c r="B83" s="1"/>
      <c r="C83" s="1"/>
      <c r="D83" s="1"/>
      <c r="E83" s="1"/>
      <c r="F83" s="1"/>
      <c r="G83" s="1"/>
      <c r="H83" s="1"/>
    </row>
    <row r="84" spans="1:8" ht="15.75" customHeight="1">
      <c r="A84" s="1"/>
      <c r="B84" s="1"/>
      <c r="C84" s="1"/>
      <c r="D84" s="1"/>
      <c r="E84" s="1"/>
      <c r="F84" s="1"/>
      <c r="G84" s="1"/>
      <c r="H84" s="1"/>
    </row>
    <row r="85" spans="1:8" ht="15.75" customHeight="1">
      <c r="A85" s="1"/>
      <c r="B85" s="1"/>
      <c r="C85" s="1"/>
      <c r="D85" s="1"/>
      <c r="E85" s="1"/>
      <c r="F85" s="1"/>
      <c r="G85" s="1"/>
      <c r="H85" s="1"/>
    </row>
    <row r="86" spans="1:8" ht="15.75" customHeight="1">
      <c r="A86" s="1"/>
      <c r="B86" s="1"/>
      <c r="C86" s="1"/>
      <c r="D86" s="1"/>
      <c r="E86" s="1"/>
      <c r="F86" s="1"/>
      <c r="G86" s="1"/>
      <c r="H86" s="1"/>
    </row>
    <row r="87" spans="1:8" ht="15.75" customHeight="1">
      <c r="A87" s="1"/>
      <c r="B87" s="1"/>
      <c r="C87" s="1"/>
      <c r="D87" s="1"/>
      <c r="E87" s="1"/>
      <c r="F87" s="1"/>
      <c r="G87" s="1"/>
      <c r="H87" s="1"/>
    </row>
    <row r="88" spans="1:8" ht="15.75" customHeight="1">
      <c r="A88" s="1"/>
      <c r="B88" s="1"/>
      <c r="C88" s="1"/>
      <c r="D88" s="1"/>
      <c r="E88" s="1"/>
      <c r="F88" s="1"/>
      <c r="G88" s="1"/>
      <c r="H88" s="1"/>
    </row>
    <row r="89" spans="1:8" ht="15.75" customHeight="1">
      <c r="A89" s="1"/>
      <c r="B89" s="1"/>
      <c r="C89" s="1"/>
      <c r="D89" s="1"/>
      <c r="E89" s="1"/>
      <c r="F89" s="1"/>
      <c r="G89" s="1"/>
      <c r="H89" s="1"/>
    </row>
    <row r="90" spans="1:8" ht="15.75" customHeight="1">
      <c r="A90" s="1"/>
      <c r="B90" s="1"/>
      <c r="C90" s="1"/>
      <c r="D90" s="1"/>
      <c r="E90" s="1"/>
      <c r="F90" s="1"/>
      <c r="G90" s="1"/>
      <c r="H90" s="1"/>
    </row>
    <row r="91" spans="1:8" ht="15.75" customHeight="1">
      <c r="A91" s="1"/>
      <c r="B91" s="1"/>
      <c r="C91" s="1"/>
      <c r="D91" s="1"/>
      <c r="E91" s="1"/>
      <c r="F91" s="1"/>
      <c r="G91" s="1"/>
      <c r="H91" s="1"/>
    </row>
    <row r="92" spans="1:8" ht="15.75" customHeight="1">
      <c r="A92" s="1"/>
      <c r="B92" s="1"/>
      <c r="C92" s="1"/>
      <c r="D92" s="1"/>
      <c r="E92" s="1"/>
      <c r="F92" s="1"/>
      <c r="G92" s="1"/>
      <c r="H92" s="1"/>
    </row>
    <row r="93" spans="1:8" ht="15.75" customHeight="1">
      <c r="A93" s="1"/>
      <c r="B93" s="1"/>
      <c r="C93" s="1"/>
      <c r="D93" s="1"/>
      <c r="E93" s="1"/>
      <c r="F93" s="1"/>
      <c r="G93" s="1"/>
      <c r="H93" s="1"/>
    </row>
    <row r="94" spans="1:8" ht="15.75" customHeight="1">
      <c r="A94" s="1"/>
      <c r="B94" s="1"/>
      <c r="C94" s="1"/>
      <c r="D94" s="1"/>
      <c r="E94" s="1"/>
      <c r="F94" s="1"/>
      <c r="G94" s="1"/>
      <c r="H94" s="1"/>
    </row>
    <row r="95" spans="1:8" ht="15.75" customHeight="1">
      <c r="A95" s="1"/>
      <c r="B95" s="1"/>
      <c r="C95" s="1"/>
      <c r="D95" s="1"/>
      <c r="E95" s="1"/>
      <c r="F95" s="1"/>
      <c r="G95" s="1"/>
      <c r="H95" s="1"/>
    </row>
    <row r="96" spans="1:8" ht="15.75" customHeight="1">
      <c r="A96" s="1"/>
      <c r="B96" s="1"/>
      <c r="C96" s="1"/>
      <c r="D96" s="1"/>
      <c r="E96" s="1"/>
      <c r="F96" s="1"/>
      <c r="G96" s="1"/>
      <c r="H96" s="1"/>
    </row>
    <row r="97" spans="1:8" ht="15.75" customHeight="1">
      <c r="A97" s="1"/>
      <c r="B97" s="1"/>
      <c r="C97" s="1"/>
      <c r="D97" s="1"/>
      <c r="E97" s="1"/>
      <c r="F97" s="1"/>
      <c r="G97" s="1"/>
      <c r="H97" s="1"/>
    </row>
    <row r="98" spans="1:8" ht="15.75" customHeight="1">
      <c r="A98" s="1"/>
      <c r="B98" s="1"/>
      <c r="C98" s="1"/>
      <c r="D98" s="1"/>
      <c r="E98" s="1"/>
      <c r="F98" s="1"/>
      <c r="G98" s="1"/>
      <c r="H98" s="1"/>
    </row>
    <row r="99" spans="1:8" ht="15.75" customHeight="1">
      <c r="A99" s="1"/>
      <c r="B99" s="1"/>
      <c r="C99" s="1"/>
      <c r="D99" s="1"/>
      <c r="E99" s="1"/>
      <c r="F99" s="1"/>
      <c r="G99" s="1"/>
      <c r="H99" s="1"/>
    </row>
    <row r="100" spans="1:8" ht="15.75" customHeight="1">
      <c r="A100" s="1"/>
      <c r="B100" s="1"/>
      <c r="C100" s="1"/>
      <c r="D100" s="1"/>
      <c r="E100" s="1"/>
      <c r="F100" s="1"/>
      <c r="G100" s="1"/>
      <c r="H100" s="1"/>
    </row>
    <row r="101" spans="1:8" ht="15.75" customHeight="1">
      <c r="A101" s="1"/>
      <c r="B101" s="1"/>
      <c r="C101" s="1"/>
      <c r="D101" s="1"/>
      <c r="E101" s="1"/>
      <c r="F101" s="1"/>
      <c r="G101" s="1"/>
      <c r="H101" s="1"/>
    </row>
    <row r="102" spans="1:8" ht="15.75" customHeight="1">
      <c r="A102" s="1"/>
      <c r="B102" s="1"/>
      <c r="C102" s="1"/>
      <c r="D102" s="1"/>
      <c r="E102" s="1"/>
      <c r="F102" s="1"/>
      <c r="G102" s="1"/>
      <c r="H102" s="1"/>
    </row>
    <row r="103" spans="1:8" ht="15.75" customHeight="1">
      <c r="A103" s="1"/>
      <c r="B103" s="1"/>
      <c r="C103" s="1"/>
      <c r="D103" s="1"/>
      <c r="E103" s="1"/>
      <c r="F103" s="1"/>
      <c r="G103" s="1"/>
      <c r="H103" s="1"/>
    </row>
    <row r="104" spans="1:8" ht="15.75" customHeight="1">
      <c r="A104" s="1"/>
      <c r="B104" s="1"/>
      <c r="C104" s="1"/>
      <c r="D104" s="1"/>
      <c r="E104" s="1"/>
      <c r="F104" s="1"/>
      <c r="G104" s="1"/>
      <c r="H104" s="1"/>
    </row>
    <row r="105" spans="1:8" ht="15.75" customHeight="1">
      <c r="A105" s="1"/>
      <c r="B105" s="1"/>
      <c r="C105" s="1"/>
      <c r="D105" s="1"/>
      <c r="E105" s="1"/>
      <c r="F105" s="1"/>
      <c r="G105" s="1"/>
      <c r="H105" s="1"/>
    </row>
    <row r="106" spans="1:8" ht="15.75" customHeight="1">
      <c r="A106" s="1"/>
      <c r="B106" s="1"/>
      <c r="C106" s="1"/>
      <c r="D106" s="1"/>
      <c r="E106" s="1"/>
      <c r="F106" s="1"/>
      <c r="G106" s="1"/>
      <c r="H106" s="1"/>
    </row>
    <row r="107" spans="1:8" ht="15.75" customHeight="1">
      <c r="A107" s="1"/>
      <c r="B107" s="1"/>
      <c r="C107" s="1"/>
      <c r="D107" s="1"/>
      <c r="E107" s="1"/>
      <c r="F107" s="1"/>
      <c r="G107" s="1"/>
      <c r="H107" s="1"/>
    </row>
    <row r="108" spans="1:8" ht="15.75" customHeight="1">
      <c r="A108" s="1"/>
      <c r="B108" s="1"/>
      <c r="C108" s="1"/>
      <c r="D108" s="1"/>
      <c r="E108" s="1"/>
      <c r="F108" s="1"/>
      <c r="G108" s="1"/>
      <c r="H108" s="1"/>
    </row>
    <row r="109" spans="1:8" ht="15.75" customHeight="1">
      <c r="A109" s="1"/>
      <c r="B109" s="1"/>
      <c r="C109" s="1"/>
      <c r="D109" s="1"/>
      <c r="E109" s="1"/>
      <c r="F109" s="1"/>
      <c r="G109" s="1"/>
      <c r="H109" s="1"/>
    </row>
    <row r="110" spans="1:8" ht="15.75" customHeight="1">
      <c r="A110" s="1"/>
      <c r="B110" s="1"/>
      <c r="C110" s="1"/>
      <c r="D110" s="1"/>
      <c r="E110" s="1"/>
      <c r="F110" s="1"/>
      <c r="G110" s="1"/>
      <c r="H110" s="1"/>
    </row>
    <row r="111" spans="1:8" ht="15.75" customHeight="1">
      <c r="A111" s="1"/>
      <c r="B111" s="1"/>
      <c r="C111" s="1"/>
      <c r="D111" s="1"/>
      <c r="E111" s="1"/>
      <c r="F111" s="1"/>
      <c r="G111" s="1"/>
      <c r="H111" s="1"/>
    </row>
    <row r="112" spans="1:8" ht="15.75" customHeight="1">
      <c r="A112" s="1"/>
      <c r="B112" s="1"/>
      <c r="C112" s="1"/>
      <c r="D112" s="1"/>
      <c r="E112" s="1"/>
      <c r="F112" s="1"/>
      <c r="G112" s="1"/>
      <c r="H112" s="1"/>
    </row>
    <row r="113" spans="1:8" ht="15.75" customHeight="1">
      <c r="A113" s="1"/>
      <c r="B113" s="1"/>
      <c r="C113" s="1"/>
      <c r="D113" s="1"/>
      <c r="E113" s="1"/>
      <c r="F113" s="1"/>
      <c r="G113" s="1"/>
      <c r="H113" s="1"/>
    </row>
    <row r="114" spans="1:8" ht="15.75" customHeight="1">
      <c r="A114" s="1"/>
      <c r="B114" s="1"/>
      <c r="C114" s="1"/>
      <c r="D114" s="1"/>
      <c r="E114" s="1"/>
      <c r="F114" s="1"/>
      <c r="G114" s="1"/>
      <c r="H114" s="1"/>
    </row>
    <row r="115" spans="1:8" ht="15.75" customHeight="1">
      <c r="A115" s="1"/>
      <c r="B115" s="1"/>
      <c r="C115" s="1"/>
      <c r="D115" s="1"/>
      <c r="E115" s="1"/>
      <c r="F115" s="1"/>
      <c r="G115" s="1"/>
      <c r="H115" s="1"/>
    </row>
    <row r="116" spans="1:8" ht="15.75" customHeight="1">
      <c r="A116" s="1"/>
      <c r="B116" s="1"/>
      <c r="C116" s="1"/>
      <c r="D116" s="1"/>
      <c r="E116" s="1"/>
      <c r="F116" s="1"/>
      <c r="G116" s="1"/>
      <c r="H116" s="1"/>
    </row>
    <row r="117" spans="1:8" ht="15.75" customHeight="1">
      <c r="A117" s="1"/>
      <c r="B117" s="1"/>
      <c r="C117" s="1"/>
      <c r="D117" s="1"/>
      <c r="E117" s="1"/>
      <c r="F117" s="1"/>
      <c r="G117" s="1"/>
      <c r="H117" s="1"/>
    </row>
    <row r="118" spans="1:8" ht="15.75" customHeight="1">
      <c r="A118" s="1"/>
      <c r="B118" s="1"/>
      <c r="C118" s="1"/>
      <c r="D118" s="1"/>
      <c r="E118" s="1"/>
      <c r="F118" s="1"/>
      <c r="G118" s="1"/>
      <c r="H118" s="1"/>
    </row>
    <row r="119" spans="1:8" ht="15.75" customHeight="1">
      <c r="A119" s="1"/>
      <c r="B119" s="1"/>
      <c r="C119" s="1"/>
      <c r="D119" s="1"/>
      <c r="E119" s="1"/>
      <c r="F119" s="1"/>
      <c r="G119" s="1"/>
      <c r="H119" s="1"/>
    </row>
    <row r="120" spans="1:8" ht="15.75" customHeight="1">
      <c r="A120" s="1"/>
      <c r="B120" s="1"/>
      <c r="C120" s="1"/>
      <c r="D120" s="1"/>
      <c r="E120" s="1"/>
      <c r="F120" s="1"/>
      <c r="G120" s="1"/>
      <c r="H120" s="1"/>
    </row>
    <row r="121" spans="1:8" ht="15.75" customHeight="1">
      <c r="A121" s="1"/>
      <c r="B121" s="1"/>
      <c r="C121" s="1"/>
      <c r="D121" s="1"/>
      <c r="E121" s="1"/>
      <c r="F121" s="1"/>
      <c r="G121" s="1"/>
      <c r="H121" s="1"/>
    </row>
    <row r="122" spans="1:8" ht="15.75" customHeight="1">
      <c r="A122" s="1"/>
      <c r="B122" s="1"/>
      <c r="C122" s="1"/>
      <c r="D122" s="1"/>
      <c r="E122" s="1"/>
      <c r="F122" s="1"/>
      <c r="G122" s="1"/>
      <c r="H122" s="1"/>
    </row>
    <row r="123" spans="1:8" ht="15.75" customHeight="1">
      <c r="A123" s="1"/>
      <c r="B123" s="1"/>
      <c r="C123" s="1"/>
      <c r="D123" s="1"/>
      <c r="E123" s="1"/>
      <c r="F123" s="1"/>
      <c r="G123" s="1"/>
      <c r="H123" s="1"/>
    </row>
    <row r="124" spans="1:8" ht="15.75" customHeight="1">
      <c r="A124" s="1"/>
      <c r="B124" s="1"/>
      <c r="C124" s="1"/>
      <c r="D124" s="1"/>
      <c r="E124" s="1"/>
      <c r="F124" s="1"/>
      <c r="G124" s="1"/>
      <c r="H124" s="1"/>
    </row>
    <row r="125" spans="1:8" ht="15.75" customHeight="1">
      <c r="A125" s="1"/>
      <c r="B125" s="1"/>
      <c r="C125" s="1"/>
      <c r="D125" s="1"/>
      <c r="E125" s="1"/>
      <c r="F125" s="1"/>
      <c r="G125" s="1"/>
      <c r="H125" s="1"/>
    </row>
    <row r="126" spans="1:8" ht="15.75" customHeight="1">
      <c r="A126" s="1"/>
      <c r="B126" s="1"/>
      <c r="C126" s="1"/>
      <c r="D126" s="1"/>
      <c r="E126" s="1"/>
      <c r="F126" s="1"/>
      <c r="G126" s="1"/>
      <c r="H126" s="1"/>
    </row>
    <row r="127" spans="1:8" ht="15.75" customHeight="1">
      <c r="A127" s="1"/>
      <c r="B127" s="1"/>
      <c r="C127" s="1"/>
      <c r="D127" s="1"/>
      <c r="E127" s="1"/>
      <c r="F127" s="1"/>
      <c r="G127" s="1"/>
      <c r="H127" s="1"/>
    </row>
    <row r="128" spans="1:8" ht="15.75" customHeight="1">
      <c r="A128" s="1"/>
      <c r="B128" s="1"/>
      <c r="C128" s="1"/>
      <c r="D128" s="1"/>
      <c r="E128" s="1"/>
      <c r="F128" s="1"/>
      <c r="G128" s="1"/>
      <c r="H128" s="1"/>
    </row>
    <row r="129" spans="1:8" ht="15.75" customHeight="1">
      <c r="A129" s="1"/>
      <c r="B129" s="1"/>
      <c r="C129" s="1"/>
      <c r="D129" s="1"/>
      <c r="E129" s="1"/>
      <c r="F129" s="1"/>
      <c r="G129" s="1"/>
      <c r="H129" s="1"/>
    </row>
    <row r="130" spans="1:8" ht="15.75" customHeight="1">
      <c r="A130" s="1"/>
      <c r="B130" s="1"/>
      <c r="C130" s="1"/>
      <c r="D130" s="1"/>
      <c r="E130" s="1"/>
      <c r="F130" s="1"/>
      <c r="G130" s="1"/>
      <c r="H130" s="1"/>
    </row>
    <row r="131" spans="1:8" ht="15.75" customHeight="1">
      <c r="A131" s="1"/>
      <c r="B131" s="1"/>
      <c r="C131" s="1"/>
      <c r="D131" s="1"/>
      <c r="E131" s="1"/>
      <c r="F131" s="1"/>
      <c r="G131" s="1"/>
      <c r="H131" s="1"/>
    </row>
    <row r="132" spans="1:8" ht="15.75" customHeight="1">
      <c r="A132" s="1"/>
      <c r="B132" s="1"/>
      <c r="C132" s="1"/>
      <c r="D132" s="1"/>
      <c r="E132" s="1"/>
      <c r="F132" s="1"/>
      <c r="G132" s="1"/>
      <c r="H132" s="1"/>
    </row>
    <row r="133" spans="1:8" ht="15.75" customHeight="1">
      <c r="A133" s="1"/>
      <c r="B133" s="1"/>
      <c r="C133" s="1"/>
      <c r="D133" s="1"/>
      <c r="E133" s="1"/>
      <c r="F133" s="1"/>
      <c r="G133" s="1"/>
      <c r="H133" s="1"/>
    </row>
    <row r="134" spans="1:8" ht="15.75" customHeight="1">
      <c r="A134" s="1"/>
      <c r="B134" s="1"/>
      <c r="C134" s="1"/>
      <c r="D134" s="1"/>
      <c r="E134" s="1"/>
      <c r="F134" s="1"/>
      <c r="G134" s="1"/>
      <c r="H134" s="1"/>
    </row>
    <row r="135" spans="1:8" ht="15.75" customHeight="1">
      <c r="A135" s="1"/>
      <c r="B135" s="1"/>
      <c r="C135" s="1"/>
      <c r="D135" s="1"/>
      <c r="E135" s="1"/>
      <c r="F135" s="1"/>
      <c r="G135" s="1"/>
      <c r="H135" s="1"/>
    </row>
    <row r="136" spans="1:8" ht="15.75" customHeight="1">
      <c r="A136" s="1"/>
      <c r="B136" s="1"/>
      <c r="C136" s="1"/>
      <c r="D136" s="1"/>
      <c r="E136" s="1"/>
      <c r="F136" s="1"/>
      <c r="G136" s="1"/>
      <c r="H136" s="1"/>
    </row>
    <row r="137" spans="1:8" ht="15.75" customHeight="1">
      <c r="A137" s="1"/>
      <c r="B137" s="1"/>
      <c r="C137" s="1"/>
      <c r="D137" s="1"/>
      <c r="E137" s="1"/>
      <c r="F137" s="1"/>
      <c r="G137" s="1"/>
      <c r="H137" s="1"/>
    </row>
    <row r="138" spans="1:8" ht="15.75" customHeight="1">
      <c r="A138" s="1"/>
      <c r="B138" s="1"/>
      <c r="C138" s="1"/>
      <c r="D138" s="1"/>
      <c r="E138" s="1"/>
      <c r="F138" s="1"/>
      <c r="G138" s="1"/>
      <c r="H138" s="1"/>
    </row>
    <row r="139" spans="1:8" ht="15.75" customHeight="1">
      <c r="A139" s="1"/>
      <c r="B139" s="1"/>
      <c r="C139" s="1"/>
      <c r="D139" s="1"/>
      <c r="E139" s="1"/>
      <c r="F139" s="1"/>
      <c r="G139" s="1"/>
      <c r="H139" s="1"/>
    </row>
    <row r="140" spans="1:8" ht="15.75" customHeight="1">
      <c r="A140" s="1"/>
      <c r="B140" s="1"/>
      <c r="C140" s="1"/>
      <c r="D140" s="1"/>
      <c r="E140" s="1"/>
      <c r="F140" s="1"/>
      <c r="G140" s="1"/>
      <c r="H140" s="1"/>
    </row>
    <row r="141" spans="1:8" ht="15.75" customHeight="1">
      <c r="A141" s="1"/>
      <c r="B141" s="1"/>
      <c r="C141" s="1"/>
      <c r="D141" s="1"/>
      <c r="E141" s="1"/>
      <c r="F141" s="1"/>
      <c r="G141" s="1"/>
      <c r="H141" s="1"/>
    </row>
    <row r="142" spans="1:8" ht="15.75" customHeight="1">
      <c r="A142" s="1"/>
      <c r="B142" s="1"/>
      <c r="C142" s="1"/>
      <c r="D142" s="1"/>
      <c r="E142" s="1"/>
      <c r="F142" s="1"/>
      <c r="G142" s="1"/>
      <c r="H142" s="1"/>
    </row>
    <row r="143" spans="1:8" ht="15.75" customHeight="1">
      <c r="A143" s="1"/>
      <c r="B143" s="1"/>
      <c r="C143" s="1"/>
      <c r="D143" s="1"/>
      <c r="E143" s="1"/>
      <c r="F143" s="1"/>
      <c r="G143" s="1"/>
      <c r="H143" s="1"/>
    </row>
    <row r="144" spans="1:8" ht="15.75" customHeight="1">
      <c r="A144" s="1"/>
      <c r="B144" s="1"/>
      <c r="C144" s="1"/>
      <c r="D144" s="1"/>
      <c r="E144" s="1"/>
      <c r="F144" s="1"/>
      <c r="G144" s="1"/>
      <c r="H144" s="1"/>
    </row>
    <row r="145" spans="1:8" ht="15.75" customHeight="1">
      <c r="A145" s="1"/>
      <c r="B145" s="1"/>
      <c r="C145" s="1"/>
      <c r="D145" s="1"/>
      <c r="E145" s="1"/>
      <c r="F145" s="1"/>
      <c r="G145" s="1"/>
      <c r="H145" s="1"/>
    </row>
    <row r="146" spans="1:8" ht="15.75" customHeight="1">
      <c r="A146" s="1"/>
      <c r="B146" s="1"/>
      <c r="C146" s="1"/>
      <c r="D146" s="1"/>
      <c r="E146" s="1"/>
      <c r="F146" s="1"/>
      <c r="G146" s="1"/>
      <c r="H146" s="1"/>
    </row>
    <row r="147" spans="1:8" ht="15.75" customHeight="1">
      <c r="A147" s="1"/>
      <c r="B147" s="1"/>
      <c r="C147" s="1"/>
      <c r="D147" s="1"/>
      <c r="E147" s="1"/>
      <c r="F147" s="1"/>
      <c r="G147" s="1"/>
      <c r="H147" s="1"/>
    </row>
    <row r="148" spans="1:8" ht="15.75" customHeight="1">
      <c r="A148" s="1"/>
      <c r="B148" s="1"/>
      <c r="C148" s="1"/>
      <c r="D148" s="1"/>
      <c r="E148" s="1"/>
      <c r="F148" s="1"/>
      <c r="G148" s="1"/>
      <c r="H148" s="1"/>
    </row>
    <row r="149" spans="1:8" ht="15.75" customHeight="1">
      <c r="A149" s="1"/>
      <c r="B149" s="1"/>
      <c r="C149" s="1"/>
      <c r="D149" s="1"/>
      <c r="E149" s="1"/>
      <c r="F149" s="1"/>
      <c r="G149" s="1"/>
      <c r="H149" s="1"/>
    </row>
    <row r="150" spans="1:8" ht="15.75" customHeight="1">
      <c r="A150" s="1"/>
      <c r="B150" s="1"/>
      <c r="C150" s="1"/>
      <c r="D150" s="1"/>
      <c r="E150" s="1"/>
      <c r="F150" s="1"/>
      <c r="G150" s="1"/>
      <c r="H150" s="1"/>
    </row>
    <row r="151" spans="1:8" ht="15.75" customHeight="1">
      <c r="A151" s="1"/>
      <c r="B151" s="1"/>
      <c r="C151" s="1"/>
      <c r="D151" s="1"/>
      <c r="E151" s="1"/>
      <c r="F151" s="1"/>
      <c r="G151" s="1"/>
      <c r="H151" s="1"/>
    </row>
    <row r="152" spans="1:8" ht="15.75" customHeight="1">
      <c r="A152" s="1"/>
      <c r="B152" s="1"/>
      <c r="C152" s="1"/>
      <c r="D152" s="1"/>
      <c r="E152" s="1"/>
      <c r="F152" s="1"/>
      <c r="G152" s="1"/>
      <c r="H152" s="1"/>
    </row>
    <row r="153" spans="1:8" ht="15.75" customHeight="1">
      <c r="A153" s="1"/>
      <c r="B153" s="1"/>
      <c r="C153" s="1"/>
      <c r="D153" s="1"/>
      <c r="E153" s="1"/>
      <c r="F153" s="1"/>
      <c r="G153" s="1"/>
      <c r="H153" s="1"/>
    </row>
    <row r="154" spans="1:8" ht="15.75" customHeight="1">
      <c r="A154" s="1"/>
      <c r="B154" s="1"/>
      <c r="C154" s="1"/>
      <c r="D154" s="1"/>
      <c r="E154" s="1"/>
      <c r="F154" s="1"/>
      <c r="G154" s="1"/>
      <c r="H154" s="1"/>
    </row>
    <row r="155" spans="1:8" ht="15.75" customHeight="1">
      <c r="A155" s="1"/>
      <c r="B155" s="1"/>
      <c r="C155" s="1"/>
      <c r="D155" s="1"/>
      <c r="E155" s="1"/>
      <c r="F155" s="1"/>
      <c r="G155" s="1"/>
      <c r="H155" s="1"/>
    </row>
    <row r="156" spans="1:8" ht="15.75" customHeight="1">
      <c r="A156" s="1"/>
      <c r="B156" s="1"/>
      <c r="C156" s="1"/>
      <c r="D156" s="1"/>
      <c r="E156" s="1"/>
      <c r="F156" s="1"/>
      <c r="G156" s="1"/>
      <c r="H156" s="1"/>
    </row>
    <row r="157" spans="1:8" ht="15.75" customHeight="1">
      <c r="A157" s="1"/>
      <c r="B157" s="1"/>
      <c r="C157" s="1"/>
      <c r="D157" s="1"/>
      <c r="E157" s="1"/>
      <c r="F157" s="1"/>
      <c r="G157" s="1"/>
      <c r="H157" s="1"/>
    </row>
    <row r="158" spans="1:8" ht="15.75" customHeight="1">
      <c r="A158" s="1"/>
      <c r="B158" s="1"/>
      <c r="C158" s="1"/>
      <c r="D158" s="1"/>
      <c r="E158" s="1"/>
      <c r="F158" s="1"/>
      <c r="G158" s="1"/>
      <c r="H158" s="1"/>
    </row>
    <row r="159" spans="1:8" ht="15.75" customHeight="1">
      <c r="A159" s="1"/>
      <c r="B159" s="1"/>
      <c r="C159" s="1"/>
      <c r="D159" s="1"/>
      <c r="E159" s="1"/>
      <c r="F159" s="1"/>
      <c r="G159" s="1"/>
      <c r="H159" s="1"/>
    </row>
    <row r="160" spans="1:8" ht="15.75" customHeight="1">
      <c r="A160" s="1"/>
      <c r="B160" s="1"/>
      <c r="C160" s="1"/>
      <c r="D160" s="1"/>
      <c r="E160" s="1"/>
      <c r="F160" s="1"/>
      <c r="G160" s="1"/>
      <c r="H160" s="1"/>
    </row>
    <row r="161" spans="1:8" ht="15.75" customHeight="1">
      <c r="A161" s="1"/>
      <c r="B161" s="1"/>
      <c r="C161" s="1"/>
      <c r="D161" s="1"/>
      <c r="E161" s="1"/>
      <c r="F161" s="1"/>
      <c r="G161" s="1"/>
      <c r="H161" s="1"/>
    </row>
    <row r="162" spans="1:8" ht="15.75" customHeight="1">
      <c r="A162" s="1"/>
      <c r="B162" s="1"/>
      <c r="C162" s="1"/>
      <c r="D162" s="1"/>
      <c r="E162" s="1"/>
      <c r="F162" s="1"/>
      <c r="G162" s="1"/>
      <c r="H162" s="1"/>
    </row>
    <row r="163" spans="1:8" ht="15.75" customHeight="1">
      <c r="A163" s="1"/>
      <c r="B163" s="1"/>
      <c r="C163" s="1"/>
      <c r="D163" s="1"/>
      <c r="E163" s="1"/>
      <c r="F163" s="1"/>
      <c r="G163" s="1"/>
      <c r="H163" s="1"/>
    </row>
    <row r="164" spans="1:8" ht="15.75" customHeight="1">
      <c r="A164" s="1"/>
      <c r="B164" s="1"/>
      <c r="C164" s="1"/>
      <c r="D164" s="1"/>
      <c r="E164" s="1"/>
      <c r="F164" s="1"/>
      <c r="G164" s="1"/>
      <c r="H164" s="1"/>
    </row>
    <row r="165" spans="1:8" ht="15.75" customHeight="1">
      <c r="A165" s="1"/>
      <c r="B165" s="1"/>
      <c r="C165" s="1"/>
      <c r="D165" s="1"/>
      <c r="E165" s="1"/>
      <c r="F165" s="1"/>
      <c r="G165" s="1"/>
      <c r="H165" s="1"/>
    </row>
    <row r="166" spans="1:8" ht="15.75" customHeight="1">
      <c r="A166" s="1"/>
      <c r="B166" s="1"/>
      <c r="C166" s="1"/>
      <c r="D166" s="1"/>
      <c r="E166" s="1"/>
      <c r="F166" s="1"/>
      <c r="G166" s="1"/>
      <c r="H166" s="1"/>
    </row>
    <row r="167" spans="1:8" ht="15.75" customHeight="1">
      <c r="A167" s="1"/>
      <c r="B167" s="1"/>
      <c r="C167" s="1"/>
      <c r="D167" s="1"/>
      <c r="E167" s="1"/>
      <c r="F167" s="1"/>
      <c r="G167" s="1"/>
      <c r="H167" s="1"/>
    </row>
    <row r="168" spans="1:8" ht="15.75" customHeight="1">
      <c r="A168" s="1"/>
      <c r="B168" s="1"/>
      <c r="C168" s="1"/>
      <c r="D168" s="1"/>
      <c r="E168" s="1"/>
      <c r="F168" s="1"/>
      <c r="G168" s="1"/>
      <c r="H168" s="1"/>
    </row>
    <row r="169" spans="1:8" ht="15.75" customHeight="1">
      <c r="A169" s="1"/>
      <c r="B169" s="1"/>
      <c r="C169" s="1"/>
      <c r="D169" s="1"/>
      <c r="E169" s="1"/>
      <c r="F169" s="1"/>
      <c r="G169" s="1"/>
      <c r="H169" s="1"/>
    </row>
    <row r="170" spans="1:8" ht="15.75" customHeight="1">
      <c r="A170" s="1"/>
      <c r="B170" s="1"/>
      <c r="C170" s="1"/>
      <c r="D170" s="1"/>
      <c r="E170" s="1"/>
      <c r="F170" s="1"/>
      <c r="G170" s="1"/>
      <c r="H170" s="1"/>
    </row>
    <row r="171" spans="1:8" ht="15.75" customHeight="1">
      <c r="A171" s="1"/>
      <c r="B171" s="1"/>
      <c r="C171" s="1"/>
      <c r="D171" s="1"/>
      <c r="E171" s="1"/>
      <c r="F171" s="1"/>
      <c r="G171" s="1"/>
      <c r="H171" s="1"/>
    </row>
    <row r="172" spans="1:8" ht="15.75" customHeight="1">
      <c r="A172" s="1"/>
      <c r="B172" s="1"/>
      <c r="C172" s="1"/>
      <c r="D172" s="1"/>
      <c r="E172" s="1"/>
      <c r="F172" s="1"/>
      <c r="G172" s="1"/>
      <c r="H172" s="1"/>
    </row>
    <row r="173" spans="1:8" ht="15.75" customHeight="1">
      <c r="A173" s="1"/>
      <c r="B173" s="1"/>
      <c r="C173" s="1"/>
      <c r="D173" s="1"/>
      <c r="E173" s="1"/>
      <c r="F173" s="1"/>
      <c r="G173" s="1"/>
      <c r="H173" s="1"/>
    </row>
    <row r="174" spans="1:8" ht="15.75" customHeight="1">
      <c r="A174" s="1"/>
      <c r="B174" s="1"/>
      <c r="C174" s="1"/>
      <c r="D174" s="1"/>
      <c r="E174" s="1"/>
      <c r="F174" s="1"/>
      <c r="G174" s="1"/>
      <c r="H174" s="1"/>
    </row>
    <row r="175" spans="1:8" ht="15.75" customHeight="1">
      <c r="A175" s="1"/>
      <c r="B175" s="1"/>
      <c r="C175" s="1"/>
      <c r="D175" s="1"/>
      <c r="E175" s="1"/>
      <c r="F175" s="1"/>
      <c r="G175" s="1"/>
      <c r="H175" s="1"/>
    </row>
    <row r="176" spans="1:8" ht="15.75" customHeight="1">
      <c r="A176" s="1"/>
      <c r="B176" s="1"/>
      <c r="C176" s="1"/>
      <c r="D176" s="1"/>
      <c r="E176" s="1"/>
      <c r="F176" s="1"/>
      <c r="G176" s="1"/>
      <c r="H176" s="1"/>
    </row>
    <row r="177" spans="1:8" ht="15.75" customHeight="1">
      <c r="A177" s="1"/>
      <c r="B177" s="1"/>
      <c r="C177" s="1"/>
      <c r="D177" s="1"/>
      <c r="E177" s="1"/>
      <c r="F177" s="1"/>
      <c r="G177" s="1"/>
      <c r="H177" s="1"/>
    </row>
    <row r="178" spans="1:8" ht="15.75" customHeight="1">
      <c r="A178" s="1"/>
      <c r="B178" s="1"/>
      <c r="C178" s="1"/>
      <c r="D178" s="1"/>
      <c r="E178" s="1"/>
      <c r="F178" s="1"/>
      <c r="G178" s="1"/>
      <c r="H178" s="1"/>
    </row>
    <row r="179" spans="1:8" ht="15.75" customHeight="1">
      <c r="A179" s="1"/>
      <c r="B179" s="1"/>
      <c r="C179" s="1"/>
      <c r="D179" s="1"/>
      <c r="E179" s="1"/>
      <c r="F179" s="1"/>
      <c r="G179" s="1"/>
      <c r="H179" s="1"/>
    </row>
    <row r="180" spans="1:8" ht="15.75" customHeight="1">
      <c r="A180" s="1"/>
      <c r="B180" s="1"/>
      <c r="C180" s="1"/>
      <c r="D180" s="1"/>
      <c r="E180" s="1"/>
      <c r="F180" s="1"/>
      <c r="G180" s="1"/>
      <c r="H180" s="1"/>
    </row>
    <row r="181" spans="1:8" ht="15.75" customHeight="1">
      <c r="A181" s="1"/>
      <c r="B181" s="1"/>
      <c r="C181" s="1"/>
      <c r="D181" s="1"/>
      <c r="E181" s="1"/>
      <c r="F181" s="1"/>
      <c r="G181" s="1"/>
      <c r="H181" s="1"/>
    </row>
    <row r="182" spans="1:8" ht="15.75" customHeight="1">
      <c r="A182" s="1"/>
      <c r="B182" s="1"/>
      <c r="C182" s="1"/>
      <c r="D182" s="1"/>
      <c r="E182" s="1"/>
      <c r="F182" s="1"/>
      <c r="G182" s="1"/>
      <c r="H182" s="1"/>
    </row>
    <row r="183" spans="1:8" ht="15.75" customHeight="1">
      <c r="A183" s="1"/>
      <c r="B183" s="1"/>
      <c r="C183" s="1"/>
      <c r="D183" s="1"/>
      <c r="E183" s="1"/>
      <c r="F183" s="1"/>
      <c r="G183" s="1"/>
      <c r="H183" s="1"/>
    </row>
    <row r="184" spans="1:8" ht="15.75" customHeight="1">
      <c r="A184" s="1"/>
      <c r="B184" s="1"/>
      <c r="C184" s="1"/>
      <c r="D184" s="1"/>
      <c r="E184" s="1"/>
      <c r="F184" s="1"/>
      <c r="G184" s="1"/>
      <c r="H184" s="1"/>
    </row>
    <row r="185" spans="1:8" ht="15.75" customHeight="1">
      <c r="A185" s="1"/>
      <c r="B185" s="1"/>
      <c r="C185" s="1"/>
      <c r="D185" s="1"/>
      <c r="E185" s="1"/>
      <c r="F185" s="1"/>
      <c r="G185" s="1"/>
      <c r="H185" s="1"/>
    </row>
    <row r="186" spans="1:8" ht="15.75" customHeight="1">
      <c r="A186" s="1"/>
      <c r="B186" s="1"/>
      <c r="C186" s="1"/>
      <c r="D186" s="1"/>
      <c r="E186" s="1"/>
      <c r="F186" s="1"/>
      <c r="G186" s="1"/>
      <c r="H186" s="1"/>
    </row>
    <row r="187" spans="1:8" ht="15.75" customHeight="1">
      <c r="A187" s="1"/>
      <c r="B187" s="1"/>
      <c r="C187" s="1"/>
      <c r="D187" s="1"/>
      <c r="E187" s="1"/>
      <c r="F187" s="1"/>
      <c r="G187" s="1"/>
      <c r="H187" s="1"/>
    </row>
    <row r="188" spans="1:8" ht="15.75" customHeight="1">
      <c r="A188" s="1"/>
      <c r="B188" s="1"/>
      <c r="C188" s="1"/>
      <c r="D188" s="1"/>
      <c r="E188" s="1"/>
      <c r="F188" s="1"/>
      <c r="G188" s="1"/>
      <c r="H188" s="1"/>
    </row>
    <row r="189" spans="1:8" ht="15.75" customHeight="1">
      <c r="A189" s="1"/>
      <c r="B189" s="1"/>
      <c r="C189" s="1"/>
      <c r="D189" s="1"/>
      <c r="E189" s="1"/>
      <c r="F189" s="1"/>
      <c r="G189" s="1"/>
      <c r="H189" s="1"/>
    </row>
    <row r="190" spans="1:8" ht="15.75" customHeight="1">
      <c r="A190" s="1"/>
      <c r="B190" s="1"/>
      <c r="C190" s="1"/>
      <c r="D190" s="1"/>
      <c r="E190" s="1"/>
      <c r="F190" s="1"/>
      <c r="G190" s="1"/>
      <c r="H190" s="1"/>
    </row>
    <row r="191" spans="1:8" ht="15.75" customHeight="1">
      <c r="A191" s="1"/>
      <c r="B191" s="1"/>
      <c r="C191" s="1"/>
      <c r="D191" s="1"/>
      <c r="E191" s="1"/>
      <c r="F191" s="1"/>
      <c r="G191" s="1"/>
      <c r="H191" s="1"/>
    </row>
    <row r="192" spans="1:8" ht="15.75" customHeight="1">
      <c r="A192" s="1"/>
      <c r="B192" s="1"/>
      <c r="C192" s="1"/>
      <c r="D192" s="1"/>
      <c r="E192" s="1"/>
      <c r="F192" s="1"/>
      <c r="G192" s="1"/>
      <c r="H192" s="1"/>
    </row>
    <row r="193" spans="1:8" ht="15.75" customHeight="1">
      <c r="A193" s="1"/>
      <c r="B193" s="1"/>
      <c r="C193" s="1"/>
      <c r="D193" s="1"/>
      <c r="E193" s="1"/>
      <c r="F193" s="1"/>
      <c r="G193" s="1"/>
      <c r="H193" s="1"/>
    </row>
    <row r="194" spans="1:8" ht="15.75" customHeight="1">
      <c r="A194" s="1"/>
      <c r="B194" s="1"/>
      <c r="C194" s="1"/>
      <c r="D194" s="1"/>
      <c r="E194" s="1"/>
      <c r="F194" s="1"/>
      <c r="G194" s="1"/>
      <c r="H194" s="1"/>
    </row>
    <row r="195" spans="1:8" ht="15.75" customHeight="1">
      <c r="A195" s="1"/>
      <c r="B195" s="1"/>
      <c r="C195" s="1"/>
      <c r="D195" s="1"/>
      <c r="E195" s="1"/>
      <c r="F195" s="1"/>
      <c r="G195" s="1"/>
      <c r="H195" s="1"/>
    </row>
    <row r="196" spans="1:8" ht="15.75" customHeight="1">
      <c r="A196" s="1"/>
      <c r="B196" s="1"/>
      <c r="C196" s="1"/>
      <c r="D196" s="1"/>
      <c r="E196" s="1"/>
      <c r="F196" s="1"/>
      <c r="G196" s="1"/>
      <c r="H196" s="1"/>
    </row>
    <row r="197" spans="1:8" ht="15.75" customHeight="1">
      <c r="A197" s="1"/>
      <c r="B197" s="1"/>
      <c r="C197" s="1"/>
      <c r="D197" s="1"/>
      <c r="E197" s="1"/>
      <c r="F197" s="1"/>
      <c r="G197" s="1"/>
      <c r="H197" s="1"/>
    </row>
    <row r="198" spans="1:8" ht="15.75" customHeight="1">
      <c r="A198" s="1"/>
      <c r="B198" s="1"/>
      <c r="C198" s="1"/>
      <c r="D198" s="1"/>
      <c r="E198" s="1"/>
      <c r="F198" s="1"/>
      <c r="G198" s="1"/>
      <c r="H198" s="1"/>
    </row>
    <row r="199" spans="1:8" ht="15.75" customHeight="1">
      <c r="A199" s="1"/>
      <c r="B199" s="1"/>
      <c r="C199" s="1"/>
      <c r="D199" s="1"/>
      <c r="E199" s="1"/>
      <c r="F199" s="1"/>
      <c r="G199" s="1"/>
      <c r="H199" s="1"/>
    </row>
    <row r="200" spans="1:8" ht="15.75" customHeight="1">
      <c r="A200" s="1"/>
      <c r="B200" s="1"/>
      <c r="C200" s="1"/>
      <c r="D200" s="1"/>
      <c r="E200" s="1"/>
      <c r="F200" s="1"/>
      <c r="G200" s="1"/>
      <c r="H200" s="1"/>
    </row>
    <row r="201" spans="1:8" ht="15.75" customHeight="1">
      <c r="A201" s="1"/>
      <c r="B201" s="1"/>
      <c r="C201" s="1"/>
      <c r="D201" s="1"/>
      <c r="E201" s="1"/>
      <c r="F201" s="1"/>
      <c r="G201" s="1"/>
      <c r="H201" s="1"/>
    </row>
    <row r="202" spans="1:8" ht="15.75" customHeight="1">
      <c r="A202" s="1"/>
      <c r="B202" s="1"/>
      <c r="C202" s="1"/>
      <c r="D202" s="1"/>
      <c r="E202" s="1"/>
      <c r="F202" s="1"/>
      <c r="G202" s="1"/>
      <c r="H202" s="1"/>
    </row>
    <row r="203" spans="1:8" ht="15.75" customHeight="1">
      <c r="A203" s="1"/>
      <c r="B203" s="1"/>
      <c r="C203" s="1"/>
      <c r="D203" s="1"/>
      <c r="E203" s="1"/>
      <c r="F203" s="1"/>
      <c r="G203" s="1"/>
      <c r="H203" s="1"/>
    </row>
    <row r="204" spans="1:8" ht="15.75" customHeight="1">
      <c r="A204" s="1"/>
      <c r="B204" s="1"/>
      <c r="C204" s="1"/>
      <c r="D204" s="1"/>
      <c r="E204" s="1"/>
      <c r="F204" s="1"/>
      <c r="G204" s="1"/>
      <c r="H204" s="1"/>
    </row>
    <row r="205" spans="1:8" ht="15.75" customHeight="1">
      <c r="A205" s="1"/>
      <c r="B205" s="1"/>
      <c r="C205" s="1"/>
      <c r="D205" s="1"/>
      <c r="E205" s="1"/>
      <c r="F205" s="1"/>
      <c r="G205" s="1"/>
      <c r="H205" s="1"/>
    </row>
    <row r="206" spans="1:8" ht="15.75" customHeight="1">
      <c r="A206" s="1"/>
      <c r="B206" s="1"/>
      <c r="C206" s="1"/>
      <c r="D206" s="1"/>
      <c r="E206" s="1"/>
      <c r="F206" s="1"/>
      <c r="G206" s="1"/>
      <c r="H206" s="1"/>
    </row>
    <row r="207" spans="1:8" ht="15.75" customHeight="1">
      <c r="A207" s="1"/>
      <c r="B207" s="1"/>
      <c r="C207" s="1"/>
      <c r="D207" s="1"/>
      <c r="E207" s="1"/>
      <c r="F207" s="1"/>
      <c r="G207" s="1"/>
      <c r="H207" s="1"/>
    </row>
    <row r="208" spans="1:8" ht="15.75" customHeight="1">
      <c r="A208" s="1"/>
      <c r="B208" s="1"/>
      <c r="C208" s="1"/>
      <c r="D208" s="1"/>
      <c r="E208" s="1"/>
      <c r="F208" s="1"/>
      <c r="G208" s="1"/>
      <c r="H208" s="1"/>
    </row>
    <row r="209" spans="1:8" ht="15.75" customHeight="1">
      <c r="A209" s="1"/>
      <c r="B209" s="1"/>
      <c r="C209" s="1"/>
      <c r="D209" s="1"/>
      <c r="E209" s="1"/>
      <c r="F209" s="1"/>
      <c r="G209" s="1"/>
      <c r="H209" s="1"/>
    </row>
    <row r="210" spans="1:8" ht="15.75" customHeight="1">
      <c r="A210" s="1"/>
      <c r="B210" s="1"/>
      <c r="C210" s="1"/>
      <c r="D210" s="1"/>
      <c r="E210" s="1"/>
      <c r="F210" s="1"/>
      <c r="G210" s="1"/>
      <c r="H210" s="1"/>
    </row>
    <row r="211" spans="1:8" ht="15.75" customHeight="1">
      <c r="A211" s="1"/>
      <c r="B211" s="1"/>
      <c r="C211" s="1"/>
      <c r="D211" s="1"/>
      <c r="E211" s="1"/>
      <c r="F211" s="1"/>
      <c r="G211" s="1"/>
      <c r="H211" s="1"/>
    </row>
    <row r="212" spans="1:8" ht="15.75" customHeight="1">
      <c r="A212" s="1"/>
      <c r="B212" s="1"/>
      <c r="C212" s="1"/>
      <c r="D212" s="1"/>
      <c r="E212" s="1"/>
      <c r="F212" s="1"/>
      <c r="G212" s="1"/>
      <c r="H212" s="1"/>
    </row>
    <row r="213" spans="1:8" ht="15.75" customHeight="1">
      <c r="A213" s="1"/>
      <c r="B213" s="1"/>
      <c r="C213" s="1"/>
      <c r="D213" s="1"/>
      <c r="E213" s="1"/>
      <c r="F213" s="1"/>
      <c r="G213" s="1"/>
      <c r="H213" s="1"/>
    </row>
    <row r="214" spans="1:8" ht="15.75" customHeight="1">
      <c r="A214" s="1"/>
      <c r="B214" s="1"/>
      <c r="C214" s="1"/>
      <c r="D214" s="1"/>
      <c r="E214" s="1"/>
      <c r="F214" s="1"/>
      <c r="G214" s="1"/>
      <c r="H214" s="1"/>
    </row>
    <row r="215" spans="1:8" ht="15.75" customHeight="1">
      <c r="A215" s="1"/>
      <c r="B215" s="1"/>
      <c r="C215" s="1"/>
      <c r="D215" s="1"/>
      <c r="E215" s="1"/>
      <c r="F215" s="1"/>
      <c r="G215" s="1"/>
      <c r="H215" s="1"/>
    </row>
    <row r="216" spans="1:8" ht="15.75" customHeight="1">
      <c r="A216" s="1"/>
      <c r="B216" s="1"/>
      <c r="C216" s="1"/>
      <c r="D216" s="1"/>
      <c r="E216" s="1"/>
      <c r="F216" s="1"/>
      <c r="G216" s="1"/>
      <c r="H216" s="1"/>
    </row>
    <row r="217" spans="1:8" ht="15.75" customHeight="1">
      <c r="A217" s="1"/>
      <c r="B217" s="1"/>
      <c r="C217" s="1"/>
      <c r="D217" s="1"/>
      <c r="E217" s="1"/>
      <c r="F217" s="1"/>
      <c r="G217" s="1"/>
      <c r="H217" s="1"/>
    </row>
    <row r="218" spans="1:8" ht="15.75" customHeight="1">
      <c r="A218" s="1"/>
      <c r="B218" s="1"/>
      <c r="C218" s="1"/>
      <c r="D218" s="1"/>
      <c r="E218" s="1"/>
      <c r="F218" s="1"/>
      <c r="G218" s="1"/>
      <c r="H218" s="1"/>
    </row>
    <row r="219" spans="1:8" ht="15.75" customHeight="1">
      <c r="A219" s="1"/>
      <c r="B219" s="1"/>
      <c r="C219" s="1"/>
      <c r="D219" s="1"/>
      <c r="E219" s="1"/>
      <c r="F219" s="1"/>
      <c r="G219" s="1"/>
      <c r="H219" s="1"/>
    </row>
    <row r="220" spans="1:8" ht="15.75" customHeight="1">
      <c r="A220" s="1"/>
      <c r="B220" s="1"/>
      <c r="C220" s="1"/>
      <c r="D220" s="1"/>
      <c r="E220" s="1"/>
      <c r="F220" s="1"/>
      <c r="G220" s="1"/>
      <c r="H220" s="1"/>
    </row>
    <row r="221" spans="1:8" ht="15.75" customHeight="1">
      <c r="A221" s="1"/>
      <c r="B221" s="1"/>
      <c r="C221" s="1"/>
      <c r="D221" s="1"/>
      <c r="E221" s="1"/>
      <c r="F221" s="1"/>
      <c r="G221" s="1"/>
      <c r="H221" s="1"/>
    </row>
    <row r="222" spans="1:8" ht="15.75" customHeight="1">
      <c r="A222" s="1"/>
      <c r="B222" s="1"/>
      <c r="C222" s="1"/>
      <c r="D222" s="1"/>
      <c r="E222" s="1"/>
      <c r="F222" s="1"/>
      <c r="G222" s="1"/>
      <c r="H222" s="1"/>
    </row>
    <row r="223" spans="1:8" ht="15.75" customHeight="1">
      <c r="A223" s="1"/>
      <c r="B223" s="1"/>
      <c r="C223" s="1"/>
      <c r="D223" s="1"/>
      <c r="E223" s="1"/>
      <c r="F223" s="1"/>
      <c r="G223" s="1"/>
      <c r="H223" s="1"/>
    </row>
    <row r="224" spans="1:8" ht="15.75" customHeight="1">
      <c r="A224" s="1"/>
      <c r="B224" s="1"/>
      <c r="C224" s="1"/>
      <c r="D224" s="1"/>
      <c r="E224" s="1"/>
      <c r="F224" s="1"/>
      <c r="G224" s="1"/>
      <c r="H224" s="1"/>
    </row>
    <row r="225" spans="1:8" ht="15.75" customHeight="1">
      <c r="A225" s="1"/>
      <c r="B225" s="1"/>
      <c r="C225" s="1"/>
      <c r="D225" s="1"/>
      <c r="E225" s="1"/>
      <c r="F225" s="1"/>
      <c r="G225" s="1"/>
      <c r="H225" s="1"/>
    </row>
    <row r="226" spans="1:8" ht="15.75" customHeight="1">
      <c r="A226" s="1"/>
      <c r="B226" s="1"/>
      <c r="C226" s="1"/>
      <c r="D226" s="1"/>
      <c r="E226" s="1"/>
      <c r="F226" s="1"/>
      <c r="G226" s="1"/>
      <c r="H226" s="1"/>
    </row>
    <row r="227" spans="1:8" ht="15.75" customHeight="1">
      <c r="A227" s="1"/>
      <c r="B227" s="1"/>
      <c r="C227" s="1"/>
      <c r="D227" s="1"/>
      <c r="E227" s="1"/>
      <c r="F227" s="1"/>
      <c r="G227" s="1"/>
      <c r="H227" s="1"/>
    </row>
    <row r="228" spans="1:8" ht="15.75" customHeight="1">
      <c r="A228" s="1"/>
      <c r="B228" s="1"/>
      <c r="C228" s="1"/>
      <c r="D228" s="1"/>
      <c r="E228" s="1"/>
      <c r="F228" s="1"/>
      <c r="G228" s="1"/>
      <c r="H228" s="1"/>
    </row>
    <row r="229" spans="1:8" ht="15.75" customHeight="1">
      <c r="A229" s="1"/>
      <c r="B229" s="1"/>
      <c r="C229" s="1"/>
      <c r="D229" s="1"/>
      <c r="E229" s="1"/>
      <c r="F229" s="1"/>
      <c r="G229" s="1"/>
      <c r="H229" s="1"/>
    </row>
    <row r="230" spans="1:8" ht="15.75" customHeight="1">
      <c r="A230" s="1"/>
      <c r="B230" s="1"/>
      <c r="C230" s="1"/>
      <c r="D230" s="1"/>
      <c r="E230" s="1"/>
      <c r="F230" s="1"/>
      <c r="G230" s="1"/>
      <c r="H230" s="1"/>
    </row>
    <row r="231" spans="1:8" ht="15.75" customHeight="1">
      <c r="A231" s="1"/>
      <c r="B231" s="1"/>
      <c r="C231" s="1"/>
      <c r="D231" s="1"/>
      <c r="E231" s="1"/>
      <c r="F231" s="1"/>
      <c r="G231" s="1"/>
      <c r="H231" s="1"/>
    </row>
    <row r="232" spans="1:8" ht="15.75" customHeight="1">
      <c r="A232" s="1"/>
      <c r="B232" s="1"/>
      <c r="C232" s="1"/>
      <c r="D232" s="1"/>
      <c r="E232" s="1"/>
      <c r="F232" s="1"/>
      <c r="G232" s="1"/>
      <c r="H232" s="1"/>
    </row>
    <row r="233" spans="1:8" ht="15.75" customHeight="1">
      <c r="A233" s="1"/>
      <c r="B233" s="1"/>
      <c r="C233" s="1"/>
      <c r="D233" s="1"/>
      <c r="E233" s="1"/>
      <c r="F233" s="1"/>
      <c r="G233" s="1"/>
      <c r="H233" s="1"/>
    </row>
    <row r="234" spans="1:8" ht="15.75" customHeight="1">
      <c r="A234" s="1"/>
      <c r="B234" s="1"/>
      <c r="C234" s="1"/>
      <c r="D234" s="1"/>
      <c r="E234" s="1"/>
      <c r="F234" s="1"/>
      <c r="G234" s="1"/>
      <c r="H234" s="1"/>
    </row>
    <row r="235" spans="1:8" ht="15.75" customHeight="1">
      <c r="A235" s="1"/>
      <c r="B235" s="1"/>
      <c r="C235" s="1"/>
      <c r="D235" s="1"/>
      <c r="E235" s="1"/>
      <c r="F235" s="1"/>
      <c r="G235" s="1"/>
      <c r="H235" s="1"/>
    </row>
    <row r="236" spans="1:8" ht="15.75" customHeight="1">
      <c r="A236" s="1"/>
      <c r="B236" s="1"/>
      <c r="C236" s="1"/>
      <c r="D236" s="1"/>
      <c r="E236" s="1"/>
      <c r="F236" s="1"/>
      <c r="G236" s="1"/>
      <c r="H236" s="1"/>
    </row>
    <row r="237" spans="1:8" ht="15.75" customHeight="1">
      <c r="A237" s="1"/>
      <c r="B237" s="1"/>
      <c r="C237" s="1"/>
      <c r="D237" s="1"/>
      <c r="E237" s="1"/>
      <c r="F237" s="1"/>
      <c r="G237" s="1"/>
      <c r="H237" s="1"/>
    </row>
    <row r="238" spans="1:8" ht="15.75" customHeight="1">
      <c r="A238" s="1"/>
      <c r="B238" s="1"/>
      <c r="C238" s="1"/>
      <c r="D238" s="1"/>
      <c r="E238" s="1"/>
      <c r="F238" s="1"/>
      <c r="G238" s="1"/>
      <c r="H238" s="1"/>
    </row>
    <row r="239" spans="1:8" ht="15.75" customHeight="1">
      <c r="A239" s="1"/>
      <c r="B239" s="1"/>
      <c r="C239" s="1"/>
      <c r="D239" s="1"/>
      <c r="E239" s="1"/>
      <c r="F239" s="1"/>
      <c r="G239" s="1"/>
      <c r="H239" s="1"/>
    </row>
    <row r="240" spans="1:8" ht="15.75" customHeight="1">
      <c r="A240" s="1"/>
      <c r="B240" s="1"/>
      <c r="C240" s="1"/>
      <c r="D240" s="1"/>
      <c r="E240" s="1"/>
      <c r="F240" s="1"/>
      <c r="G240" s="1"/>
      <c r="H240" s="1"/>
    </row>
    <row r="241" spans="1:8" ht="15.75" customHeight="1">
      <c r="A241" s="1"/>
      <c r="B241" s="1"/>
      <c r="C241" s="1"/>
      <c r="D241" s="1"/>
      <c r="E241" s="1"/>
      <c r="F241" s="1"/>
      <c r="G241" s="1"/>
      <c r="H241" s="1"/>
    </row>
    <row r="242" spans="1:8" ht="15.75" customHeight="1">
      <c r="A242" s="1"/>
      <c r="B242" s="1"/>
      <c r="C242" s="1"/>
      <c r="D242" s="1"/>
      <c r="E242" s="1"/>
      <c r="F242" s="1"/>
      <c r="G242" s="1"/>
      <c r="H242" s="1"/>
    </row>
    <row r="243" spans="1:8" ht="15.75" customHeight="1">
      <c r="A243" s="1"/>
      <c r="B243" s="1"/>
      <c r="C243" s="1"/>
      <c r="D243" s="1"/>
      <c r="E243" s="1"/>
      <c r="F243" s="1"/>
      <c r="G243" s="1"/>
      <c r="H243" s="1"/>
    </row>
    <row r="244" spans="1:8" ht="15.75" customHeight="1">
      <c r="A244" s="1"/>
      <c r="B244" s="1"/>
      <c r="C244" s="1"/>
      <c r="D244" s="1"/>
      <c r="E244" s="1"/>
      <c r="F244" s="1"/>
      <c r="G244" s="1"/>
      <c r="H244" s="1"/>
    </row>
    <row r="245" spans="1:8" ht="15.75" customHeight="1">
      <c r="A245" s="1"/>
      <c r="B245" s="1"/>
      <c r="C245" s="1"/>
      <c r="D245" s="1"/>
      <c r="E245" s="1"/>
      <c r="F245" s="1"/>
      <c r="G245" s="1"/>
      <c r="H245" s="1"/>
    </row>
    <row r="246" spans="1:8" ht="15.75" customHeight="1">
      <c r="A246" s="1"/>
      <c r="B246" s="1"/>
      <c r="C246" s="1"/>
      <c r="D246" s="1"/>
      <c r="E246" s="1"/>
      <c r="F246" s="1"/>
      <c r="G246" s="1"/>
      <c r="H246" s="1"/>
    </row>
    <row r="247" spans="1:8" ht="15.75" customHeight="1">
      <c r="A247" s="1"/>
      <c r="B247" s="1"/>
      <c r="C247" s="1"/>
      <c r="D247" s="1"/>
      <c r="E247" s="1"/>
      <c r="F247" s="1"/>
      <c r="G247" s="1"/>
      <c r="H247" s="1"/>
    </row>
    <row r="248" spans="1:8" ht="15.75" customHeight="1">
      <c r="A248" s="1"/>
      <c r="B248" s="1"/>
      <c r="C248" s="1"/>
      <c r="D248" s="1"/>
      <c r="E248" s="1"/>
      <c r="F248" s="1"/>
      <c r="G248" s="1"/>
      <c r="H248" s="1"/>
    </row>
    <row r="249" spans="1:8" ht="15.75" customHeight="1">
      <c r="A249" s="1"/>
      <c r="B249" s="1"/>
      <c r="C249" s="1"/>
      <c r="D249" s="1"/>
      <c r="E249" s="1"/>
      <c r="F249" s="1"/>
      <c r="G249" s="1"/>
      <c r="H249" s="1"/>
    </row>
    <row r="250" spans="1:8" ht="15.75" customHeight="1">
      <c r="A250" s="1"/>
      <c r="B250" s="1"/>
      <c r="C250" s="1"/>
      <c r="D250" s="1"/>
      <c r="E250" s="1"/>
      <c r="F250" s="1"/>
      <c r="G250" s="1"/>
      <c r="H250" s="1"/>
    </row>
    <row r="251" spans="1:8" ht="15.75" customHeight="1">
      <c r="A251" s="1"/>
      <c r="B251" s="1"/>
      <c r="C251" s="1"/>
      <c r="D251" s="1"/>
      <c r="E251" s="1"/>
      <c r="F251" s="1"/>
      <c r="G251" s="1"/>
      <c r="H251" s="1"/>
    </row>
    <row r="252" spans="1:8" ht="15.75" customHeight="1">
      <c r="A252" s="1"/>
      <c r="B252" s="1"/>
      <c r="C252" s="1"/>
      <c r="D252" s="1"/>
      <c r="E252" s="1"/>
      <c r="F252" s="1"/>
      <c r="G252" s="1"/>
      <c r="H252" s="1"/>
    </row>
    <row r="253" spans="1:8" ht="15.75" customHeight="1">
      <c r="A253" s="1"/>
      <c r="B253" s="1"/>
      <c r="C253" s="1"/>
      <c r="D253" s="1"/>
      <c r="E253" s="1"/>
      <c r="F253" s="1"/>
      <c r="G253" s="1"/>
      <c r="H253" s="1"/>
    </row>
    <row r="254" spans="1:8" ht="15.75" customHeight="1">
      <c r="A254" s="1"/>
      <c r="B254" s="1"/>
      <c r="C254" s="1"/>
      <c r="D254" s="1"/>
      <c r="E254" s="1"/>
      <c r="F254" s="1"/>
      <c r="G254" s="1"/>
      <c r="H254" s="1"/>
    </row>
    <row r="255" spans="1:8" ht="15.75" customHeight="1">
      <c r="A255" s="1"/>
      <c r="B255" s="1"/>
      <c r="C255" s="1"/>
      <c r="D255" s="1"/>
      <c r="E255" s="1"/>
      <c r="F255" s="1"/>
      <c r="G255" s="1"/>
      <c r="H255" s="1"/>
    </row>
    <row r="256" spans="1:8" ht="15.75" customHeight="1">
      <c r="A256" s="1"/>
      <c r="B256" s="1"/>
      <c r="C256" s="1"/>
      <c r="D256" s="1"/>
      <c r="E256" s="1"/>
      <c r="F256" s="1"/>
      <c r="G256" s="1"/>
      <c r="H256" s="1"/>
    </row>
    <row r="257" spans="1:8" ht="15.75" customHeight="1">
      <c r="A257" s="1"/>
      <c r="B257" s="1"/>
      <c r="C257" s="1"/>
      <c r="D257" s="1"/>
      <c r="E257" s="1"/>
      <c r="F257" s="1"/>
      <c r="G257" s="1"/>
      <c r="H257" s="1"/>
    </row>
    <row r="258" spans="1:8" ht="15.75" customHeight="1">
      <c r="A258" s="1"/>
      <c r="B258" s="1"/>
      <c r="C258" s="1"/>
      <c r="D258" s="1"/>
      <c r="E258" s="1"/>
      <c r="F258" s="1"/>
      <c r="G258" s="1"/>
      <c r="H258" s="1"/>
    </row>
    <row r="259" spans="1:8" ht="15.75" customHeight="1">
      <c r="A259" s="1"/>
      <c r="B259" s="1"/>
      <c r="C259" s="1"/>
      <c r="D259" s="1"/>
      <c r="E259" s="1"/>
      <c r="F259" s="1"/>
      <c r="G259" s="1"/>
      <c r="H259" s="1"/>
    </row>
    <row r="260" spans="1:8" ht="15.75" customHeight="1">
      <c r="A260" s="1"/>
      <c r="B260" s="1"/>
      <c r="C260" s="1"/>
      <c r="D260" s="1"/>
      <c r="E260" s="1"/>
      <c r="F260" s="1"/>
      <c r="G260" s="1"/>
      <c r="H260" s="1"/>
    </row>
    <row r="261" spans="1:8" ht="15.75" customHeight="1">
      <c r="A261" s="1"/>
      <c r="B261" s="1"/>
      <c r="C261" s="1"/>
      <c r="D261" s="1"/>
      <c r="E261" s="1"/>
      <c r="F261" s="1"/>
      <c r="G261" s="1"/>
      <c r="H261" s="1"/>
    </row>
    <row r="262" spans="1:8" ht="15.75" customHeight="1">
      <c r="A262" s="1"/>
      <c r="B262" s="1"/>
      <c r="C262" s="1"/>
      <c r="D262" s="1"/>
      <c r="E262" s="1"/>
      <c r="F262" s="1"/>
      <c r="G262" s="1"/>
      <c r="H262" s="1"/>
    </row>
    <row r="263" spans="1:8" ht="15.75" customHeight="1">
      <c r="A263" s="1"/>
      <c r="B263" s="1"/>
      <c r="C263" s="1"/>
      <c r="D263" s="1"/>
      <c r="E263" s="1"/>
      <c r="F263" s="1"/>
      <c r="G263" s="1"/>
      <c r="H263" s="1"/>
    </row>
    <row r="264" spans="1:8" ht="15.75" customHeight="1">
      <c r="A264" s="1"/>
      <c r="B264" s="1"/>
      <c r="C264" s="1"/>
      <c r="D264" s="1"/>
      <c r="E264" s="1"/>
      <c r="F264" s="1"/>
      <c r="G264" s="1"/>
      <c r="H264" s="1"/>
    </row>
    <row r="265" spans="1:8" ht="15.75" customHeight="1">
      <c r="A265" s="1"/>
      <c r="B265" s="1"/>
      <c r="C265" s="1"/>
      <c r="D265" s="1"/>
      <c r="E265" s="1"/>
      <c r="F265" s="1"/>
      <c r="G265" s="1"/>
      <c r="H265" s="1"/>
    </row>
    <row r="266" spans="1:8" ht="15.75" customHeight="1">
      <c r="A266" s="1"/>
      <c r="B266" s="1"/>
      <c r="C266" s="1"/>
      <c r="D266" s="1"/>
      <c r="E266" s="1"/>
      <c r="F266" s="1"/>
      <c r="G266" s="1"/>
      <c r="H266" s="1"/>
    </row>
    <row r="267" spans="1:8" ht="15.75" customHeight="1">
      <c r="A267" s="1"/>
      <c r="B267" s="1"/>
      <c r="C267" s="1"/>
      <c r="D267" s="1"/>
      <c r="E267" s="1"/>
      <c r="F267" s="1"/>
      <c r="G267" s="1"/>
      <c r="H267" s="1"/>
    </row>
    <row r="268" spans="1:8" ht="15.75" customHeight="1">
      <c r="A268" s="1"/>
      <c r="B268" s="1"/>
      <c r="C268" s="1"/>
      <c r="D268" s="1"/>
      <c r="E268" s="1"/>
      <c r="F268" s="1"/>
      <c r="G268" s="1"/>
      <c r="H268" s="1"/>
    </row>
    <row r="269" spans="1:8" ht="15.75" customHeight="1">
      <c r="A269" s="1"/>
      <c r="B269" s="1"/>
      <c r="C269" s="1"/>
      <c r="D269" s="1"/>
      <c r="E269" s="1"/>
      <c r="F269" s="1"/>
      <c r="G269" s="1"/>
      <c r="H269" s="1"/>
    </row>
    <row r="270" spans="1:8" ht="15.75" customHeight="1">
      <c r="A270" s="1"/>
      <c r="B270" s="1"/>
      <c r="C270" s="1"/>
      <c r="D270" s="1"/>
      <c r="E270" s="1"/>
      <c r="F270" s="1"/>
      <c r="G270" s="1"/>
      <c r="H270" s="1"/>
    </row>
    <row r="271" spans="1:8" ht="15.75" customHeight="1">
      <c r="A271" s="1"/>
      <c r="B271" s="1"/>
      <c r="C271" s="1"/>
      <c r="D271" s="1"/>
      <c r="E271" s="1"/>
      <c r="F271" s="1"/>
      <c r="G271" s="1"/>
      <c r="H271" s="1"/>
    </row>
    <row r="272" spans="1:8" ht="15.75" customHeight="1">
      <c r="A272" s="1"/>
      <c r="B272" s="1"/>
      <c r="C272" s="1"/>
      <c r="D272" s="1"/>
      <c r="E272" s="1"/>
      <c r="F272" s="1"/>
      <c r="G272" s="1"/>
      <c r="H272" s="1"/>
    </row>
    <row r="273" spans="1:8" ht="15.75" customHeight="1">
      <c r="A273" s="1"/>
      <c r="B273" s="1"/>
      <c r="C273" s="1"/>
      <c r="D273" s="1"/>
      <c r="E273" s="1"/>
      <c r="F273" s="1"/>
      <c r="G273" s="1"/>
      <c r="H273" s="1"/>
    </row>
    <row r="274" spans="1:8" ht="15.75" customHeight="1">
      <c r="A274" s="1"/>
      <c r="B274" s="1"/>
      <c r="C274" s="1"/>
      <c r="D274" s="1"/>
      <c r="E274" s="1"/>
      <c r="F274" s="1"/>
      <c r="G274" s="1"/>
      <c r="H274" s="1"/>
    </row>
    <row r="275" spans="1:8" ht="15.75" customHeight="1">
      <c r="A275" s="1"/>
      <c r="B275" s="1"/>
      <c r="C275" s="1"/>
      <c r="D275" s="1"/>
      <c r="E275" s="1"/>
      <c r="F275" s="1"/>
      <c r="G275" s="1"/>
      <c r="H275" s="1"/>
    </row>
    <row r="276" spans="1:8" ht="15.75" customHeight="1">
      <c r="A276" s="1"/>
      <c r="B276" s="1"/>
      <c r="C276" s="1"/>
      <c r="D276" s="1"/>
      <c r="E276" s="1"/>
      <c r="F276" s="1"/>
      <c r="G276" s="1"/>
      <c r="H276" s="1"/>
    </row>
    <row r="277" spans="1:8" ht="15.75" customHeight="1">
      <c r="A277" s="1"/>
      <c r="B277" s="1"/>
      <c r="C277" s="1"/>
      <c r="D277" s="1"/>
      <c r="E277" s="1"/>
      <c r="F277" s="1"/>
      <c r="G277" s="1"/>
      <c r="H277" s="1"/>
    </row>
    <row r="278" spans="1:8" ht="15.75" customHeight="1">
      <c r="A278" s="1"/>
      <c r="B278" s="1"/>
      <c r="C278" s="1"/>
      <c r="D278" s="1"/>
      <c r="E278" s="1"/>
      <c r="F278" s="1"/>
      <c r="G278" s="1"/>
      <c r="H278" s="1"/>
    </row>
    <row r="279" spans="1:8" ht="15.75" customHeight="1">
      <c r="A279" s="1"/>
      <c r="B279" s="1"/>
      <c r="C279" s="1"/>
      <c r="D279" s="1"/>
      <c r="E279" s="1"/>
      <c r="F279" s="1"/>
      <c r="G279" s="1"/>
      <c r="H279" s="1"/>
    </row>
    <row r="280" spans="1:8" ht="15.75" customHeight="1">
      <c r="A280" s="1"/>
      <c r="B280" s="1"/>
      <c r="C280" s="1"/>
      <c r="D280" s="1"/>
      <c r="E280" s="1"/>
      <c r="F280" s="1"/>
      <c r="G280" s="1"/>
      <c r="H280" s="1"/>
    </row>
    <row r="281" spans="1:8" ht="15.75" customHeight="1">
      <c r="A281" s="1"/>
      <c r="B281" s="1"/>
      <c r="C281" s="1"/>
      <c r="D281" s="1"/>
      <c r="E281" s="1"/>
      <c r="F281" s="1"/>
      <c r="G281" s="1"/>
      <c r="H281" s="1"/>
    </row>
    <row r="282" spans="1:8" ht="15.75" customHeight="1">
      <c r="A282" s="1"/>
      <c r="B282" s="1"/>
      <c r="C282" s="1"/>
      <c r="D282" s="1"/>
      <c r="E282" s="1"/>
      <c r="F282" s="1"/>
      <c r="G282" s="1"/>
      <c r="H282" s="1"/>
    </row>
    <row r="283" spans="1:8" ht="15.75" customHeight="1">
      <c r="A283" s="1"/>
      <c r="B283" s="1"/>
      <c r="C283" s="1"/>
      <c r="D283" s="1"/>
      <c r="E283" s="1"/>
      <c r="F283" s="1"/>
      <c r="G283" s="1"/>
      <c r="H283" s="1"/>
    </row>
    <row r="284" spans="1:8" ht="15.75" customHeight="1">
      <c r="A284" s="1"/>
      <c r="B284" s="1"/>
      <c r="C284" s="1"/>
      <c r="D284" s="1"/>
      <c r="E284" s="1"/>
      <c r="F284" s="1"/>
      <c r="G284" s="1"/>
      <c r="H284" s="1"/>
    </row>
    <row r="285" spans="1:8" ht="15.75" customHeight="1">
      <c r="A285" s="1"/>
      <c r="B285" s="1"/>
      <c r="C285" s="1"/>
      <c r="D285" s="1"/>
      <c r="E285" s="1"/>
      <c r="F285" s="1"/>
      <c r="G285" s="1"/>
      <c r="H285" s="1"/>
    </row>
    <row r="286" spans="1:8" ht="15.75" customHeight="1">
      <c r="A286" s="1"/>
      <c r="B286" s="1"/>
      <c r="C286" s="1"/>
      <c r="D286" s="1"/>
      <c r="E286" s="1"/>
      <c r="F286" s="1"/>
      <c r="G286" s="1"/>
      <c r="H286" s="1"/>
    </row>
    <row r="287" spans="1:8" ht="15.75" customHeight="1">
      <c r="A287" s="1"/>
      <c r="B287" s="1"/>
      <c r="C287" s="1"/>
      <c r="D287" s="1"/>
      <c r="E287" s="1"/>
      <c r="F287" s="1"/>
      <c r="G287" s="1"/>
      <c r="H287" s="1"/>
    </row>
    <row r="288" spans="1:8" ht="15.75" customHeight="1">
      <c r="A288" s="1"/>
      <c r="B288" s="1"/>
      <c r="C288" s="1"/>
      <c r="D288" s="1"/>
      <c r="E288" s="1"/>
      <c r="F288" s="1"/>
      <c r="G288" s="1"/>
      <c r="H288" s="1"/>
    </row>
    <row r="289" spans="1:8" ht="15.75" customHeight="1">
      <c r="A289" s="1"/>
      <c r="B289" s="1"/>
      <c r="C289" s="1"/>
      <c r="D289" s="1"/>
      <c r="E289" s="1"/>
      <c r="F289" s="1"/>
      <c r="G289" s="1"/>
      <c r="H289" s="1"/>
    </row>
    <row r="290" spans="1:8" ht="15.75" customHeight="1">
      <c r="A290" s="1"/>
      <c r="B290" s="1"/>
      <c r="C290" s="1"/>
      <c r="D290" s="1"/>
      <c r="E290" s="1"/>
      <c r="F290" s="1"/>
      <c r="G290" s="1"/>
      <c r="H290" s="1"/>
    </row>
    <row r="291" spans="1:8" ht="15.75" customHeight="1">
      <c r="A291" s="1"/>
      <c r="B291" s="1"/>
      <c r="C291" s="1"/>
      <c r="D291" s="1"/>
      <c r="E291" s="1"/>
      <c r="F291" s="1"/>
      <c r="G291" s="1"/>
      <c r="H291" s="1"/>
    </row>
    <row r="292" spans="1:8" ht="15.75" customHeight="1">
      <c r="A292" s="1"/>
      <c r="B292" s="1"/>
      <c r="C292" s="1"/>
      <c r="D292" s="1"/>
      <c r="E292" s="1"/>
      <c r="F292" s="1"/>
      <c r="G292" s="1"/>
      <c r="H292" s="1"/>
    </row>
    <row r="293" spans="1:8" ht="15.75" customHeight="1">
      <c r="A293" s="1"/>
      <c r="B293" s="1"/>
      <c r="C293" s="1"/>
      <c r="D293" s="1"/>
      <c r="E293" s="1"/>
      <c r="F293" s="1"/>
      <c r="G293" s="1"/>
      <c r="H293" s="1"/>
    </row>
    <row r="294" spans="1:8" ht="15.75" customHeight="1">
      <c r="A294" s="1"/>
      <c r="B294" s="1"/>
      <c r="C294" s="1"/>
      <c r="D294" s="1"/>
      <c r="E294" s="1"/>
      <c r="F294" s="1"/>
      <c r="G294" s="1"/>
      <c r="H294" s="1"/>
    </row>
    <row r="295" spans="1:8" ht="15.75" customHeight="1">
      <c r="A295" s="1"/>
      <c r="B295" s="1"/>
      <c r="C295" s="1"/>
      <c r="D295" s="1"/>
      <c r="E295" s="1"/>
      <c r="F295" s="1"/>
      <c r="G295" s="1"/>
      <c r="H295" s="1"/>
    </row>
    <row r="296" spans="1:8" ht="15.75" customHeight="1">
      <c r="A296" s="1"/>
      <c r="B296" s="1"/>
      <c r="C296" s="1"/>
      <c r="D296" s="1"/>
      <c r="E296" s="1"/>
      <c r="F296" s="1"/>
      <c r="G296" s="1"/>
      <c r="H296" s="1"/>
    </row>
    <row r="297" spans="1:8" ht="15.75" customHeight="1">
      <c r="A297" s="1"/>
      <c r="B297" s="1"/>
      <c r="C297" s="1"/>
      <c r="D297" s="1"/>
      <c r="E297" s="1"/>
      <c r="F297" s="1"/>
      <c r="G297" s="1"/>
      <c r="H297" s="1"/>
    </row>
    <row r="298" spans="1:8" ht="15.75" customHeight="1">
      <c r="A298" s="1"/>
      <c r="B298" s="1"/>
      <c r="C298" s="1"/>
      <c r="D298" s="1"/>
      <c r="E298" s="1"/>
      <c r="F298" s="1"/>
      <c r="G298" s="1"/>
      <c r="H298" s="1"/>
    </row>
    <row r="299" spans="1:8" ht="15.75" customHeight="1">
      <c r="A299" s="1"/>
      <c r="B299" s="1"/>
      <c r="C299" s="1"/>
      <c r="D299" s="1"/>
      <c r="E299" s="1"/>
      <c r="F299" s="1"/>
      <c r="G299" s="1"/>
      <c r="H299" s="1"/>
    </row>
    <row r="300" spans="1:8" ht="15.75" customHeight="1">
      <c r="A300" s="1"/>
      <c r="B300" s="1"/>
      <c r="C300" s="1"/>
      <c r="D300" s="1"/>
      <c r="E300" s="1"/>
      <c r="F300" s="1"/>
      <c r="G300" s="1"/>
      <c r="H300" s="1"/>
    </row>
    <row r="301" spans="1:8" ht="15.75" customHeight="1">
      <c r="A301" s="1"/>
      <c r="B301" s="1"/>
      <c r="C301" s="1"/>
      <c r="D301" s="1"/>
      <c r="E301" s="1"/>
      <c r="F301" s="1"/>
      <c r="G301" s="1"/>
      <c r="H301" s="1"/>
    </row>
    <row r="302" spans="1:8" ht="15.75" customHeight="1">
      <c r="A302" s="1"/>
      <c r="B302" s="1"/>
      <c r="C302" s="1"/>
      <c r="D302" s="1"/>
      <c r="E302" s="1"/>
      <c r="F302" s="1"/>
      <c r="G302" s="1"/>
      <c r="H302" s="1"/>
    </row>
    <row r="303" spans="1:8" ht="15.75" customHeight="1">
      <c r="A303" s="1"/>
      <c r="B303" s="1"/>
      <c r="C303" s="1"/>
      <c r="D303" s="1"/>
      <c r="E303" s="1"/>
      <c r="F303" s="1"/>
      <c r="G303" s="1"/>
      <c r="H303" s="1"/>
    </row>
    <row r="304" spans="1:8" ht="15.75" customHeight="1">
      <c r="A304" s="1"/>
      <c r="B304" s="1"/>
      <c r="C304" s="1"/>
      <c r="D304" s="1"/>
      <c r="E304" s="1"/>
      <c r="F304" s="1"/>
      <c r="G304" s="1"/>
      <c r="H304" s="1"/>
    </row>
    <row r="305" spans="1:8" ht="15.75" customHeight="1">
      <c r="A305" s="1"/>
      <c r="B305" s="1"/>
      <c r="C305" s="1"/>
      <c r="D305" s="1"/>
      <c r="E305" s="1"/>
      <c r="F305" s="1"/>
      <c r="G305" s="1"/>
      <c r="H305" s="1"/>
    </row>
    <row r="306" spans="1:8" ht="15.75" customHeight="1">
      <c r="A306" s="1"/>
      <c r="B306" s="1"/>
      <c r="C306" s="1"/>
      <c r="D306" s="1"/>
      <c r="E306" s="1"/>
      <c r="F306" s="1"/>
      <c r="G306" s="1"/>
      <c r="H306" s="1"/>
    </row>
    <row r="307" spans="1:8" ht="15.75" customHeight="1">
      <c r="A307" s="1"/>
      <c r="B307" s="1"/>
      <c r="C307" s="1"/>
      <c r="D307" s="1"/>
      <c r="E307" s="1"/>
      <c r="F307" s="1"/>
      <c r="G307" s="1"/>
      <c r="H307" s="1"/>
    </row>
    <row r="308" spans="1:8" ht="15.75" customHeight="1">
      <c r="A308" s="1"/>
      <c r="B308" s="1"/>
      <c r="C308" s="1"/>
      <c r="D308" s="1"/>
      <c r="E308" s="1"/>
      <c r="F308" s="1"/>
      <c r="G308" s="1"/>
      <c r="H308" s="1"/>
    </row>
    <row r="309" spans="1:8" ht="15.75" customHeight="1">
      <c r="A309" s="1"/>
      <c r="B309" s="1"/>
      <c r="C309" s="1"/>
      <c r="D309" s="1"/>
      <c r="E309" s="1"/>
      <c r="F309" s="1"/>
      <c r="G309" s="1"/>
      <c r="H309" s="1"/>
    </row>
    <row r="310" spans="1:8" ht="15.75" customHeight="1">
      <c r="A310" s="1"/>
      <c r="B310" s="1"/>
      <c r="C310" s="1"/>
      <c r="D310" s="1"/>
      <c r="E310" s="1"/>
      <c r="F310" s="1"/>
      <c r="G310" s="1"/>
      <c r="H310" s="1"/>
    </row>
    <row r="311" spans="1:8" ht="15.75" customHeight="1">
      <c r="A311" s="1"/>
      <c r="B311" s="1"/>
      <c r="C311" s="1"/>
      <c r="D311" s="1"/>
      <c r="E311" s="1"/>
      <c r="F311" s="1"/>
      <c r="G311" s="1"/>
      <c r="H311" s="1"/>
    </row>
    <row r="312" spans="1:8" ht="15.75" customHeight="1">
      <c r="A312" s="1"/>
      <c r="B312" s="1"/>
      <c r="C312" s="1"/>
      <c r="D312" s="1"/>
      <c r="E312" s="1"/>
      <c r="F312" s="1"/>
      <c r="G312" s="1"/>
      <c r="H312" s="1"/>
    </row>
    <row r="313" spans="1:8" ht="15.75" customHeight="1">
      <c r="A313" s="1"/>
      <c r="B313" s="1"/>
      <c r="C313" s="1"/>
      <c r="D313" s="1"/>
      <c r="E313" s="1"/>
      <c r="F313" s="1"/>
      <c r="G313" s="1"/>
      <c r="H313" s="1"/>
    </row>
    <row r="314" spans="1:8" ht="15.75" customHeight="1">
      <c r="A314" s="1"/>
      <c r="B314" s="1"/>
      <c r="C314" s="1"/>
      <c r="D314" s="1"/>
      <c r="E314" s="1"/>
      <c r="F314" s="1"/>
      <c r="G314" s="1"/>
      <c r="H314" s="1"/>
    </row>
    <row r="315" spans="1:8" ht="15.75" customHeight="1">
      <c r="A315" s="1"/>
      <c r="B315" s="1"/>
      <c r="C315" s="1"/>
      <c r="D315" s="1"/>
      <c r="E315" s="1"/>
      <c r="F315" s="1"/>
      <c r="G315" s="1"/>
      <c r="H315" s="1"/>
    </row>
    <row r="316" spans="1:8" ht="15.75" customHeight="1">
      <c r="A316" s="1"/>
      <c r="B316" s="1"/>
      <c r="C316" s="1"/>
      <c r="D316" s="1"/>
      <c r="E316" s="1"/>
      <c r="F316" s="1"/>
      <c r="G316" s="1"/>
      <c r="H316" s="1"/>
    </row>
    <row r="317" spans="1:8" ht="15.75" customHeight="1">
      <c r="A317" s="1"/>
      <c r="B317" s="1"/>
      <c r="C317" s="1"/>
      <c r="D317" s="1"/>
      <c r="E317" s="1"/>
      <c r="F317" s="1"/>
      <c r="G317" s="1"/>
      <c r="H317" s="1"/>
    </row>
    <row r="318" spans="1:8" ht="15.75" customHeight="1">
      <c r="A318" s="1"/>
      <c r="B318" s="1"/>
      <c r="C318" s="1"/>
      <c r="D318" s="1"/>
      <c r="E318" s="1"/>
      <c r="F318" s="1"/>
      <c r="G318" s="1"/>
      <c r="H318" s="1"/>
    </row>
    <row r="319" spans="1:8" ht="15.75" customHeight="1">
      <c r="A319" s="1"/>
      <c r="B319" s="1"/>
      <c r="C319" s="1"/>
      <c r="D319" s="1"/>
      <c r="E319" s="1"/>
      <c r="F319" s="1"/>
      <c r="G319" s="1"/>
      <c r="H319" s="1"/>
    </row>
    <row r="320" spans="1:8" ht="15.75" customHeight="1">
      <c r="A320" s="1"/>
      <c r="B320" s="1"/>
      <c r="C320" s="1"/>
      <c r="D320" s="1"/>
      <c r="E320" s="1"/>
      <c r="F320" s="1"/>
      <c r="G320" s="1"/>
      <c r="H320" s="1"/>
    </row>
    <row r="321" spans="1:8" ht="15.75" customHeight="1">
      <c r="A321" s="1"/>
      <c r="B321" s="1"/>
      <c r="C321" s="1"/>
      <c r="D321" s="1"/>
      <c r="E321" s="1"/>
      <c r="F321" s="1"/>
      <c r="G321" s="1"/>
      <c r="H321" s="1"/>
    </row>
    <row r="322" spans="1:8" ht="15.75" customHeight="1">
      <c r="A322" s="1"/>
      <c r="B322" s="1"/>
      <c r="C322" s="1"/>
      <c r="D322" s="1"/>
      <c r="E322" s="1"/>
      <c r="F322" s="1"/>
      <c r="G322" s="1"/>
      <c r="H322" s="1"/>
    </row>
    <row r="323" spans="1:8" ht="15.75" customHeight="1">
      <c r="A323" s="1"/>
      <c r="B323" s="1"/>
      <c r="C323" s="1"/>
      <c r="D323" s="1"/>
      <c r="E323" s="1"/>
      <c r="F323" s="1"/>
      <c r="G323" s="1"/>
      <c r="H323" s="1"/>
    </row>
    <row r="324" spans="1:8" ht="15.75" customHeight="1">
      <c r="A324" s="1"/>
      <c r="B324" s="1"/>
      <c r="C324" s="1"/>
      <c r="D324" s="1"/>
      <c r="E324" s="1"/>
      <c r="F324" s="1"/>
      <c r="G324" s="1"/>
      <c r="H324" s="1"/>
    </row>
    <row r="325" spans="1:8" ht="15.75" customHeight="1">
      <c r="A325" s="1"/>
      <c r="B325" s="1"/>
      <c r="C325" s="1"/>
      <c r="D325" s="1"/>
      <c r="E325" s="1"/>
      <c r="F325" s="1"/>
      <c r="G325" s="1"/>
      <c r="H325" s="1"/>
    </row>
    <row r="326" spans="1:8" ht="15.75" customHeight="1">
      <c r="A326" s="1"/>
      <c r="B326" s="1"/>
      <c r="C326" s="1"/>
      <c r="D326" s="1"/>
      <c r="E326" s="1"/>
      <c r="F326" s="1"/>
      <c r="G326" s="1"/>
      <c r="H326" s="1"/>
    </row>
    <row r="327" spans="1:8" ht="15.75" customHeight="1">
      <c r="A327" s="1"/>
      <c r="B327" s="1"/>
      <c r="C327" s="1"/>
      <c r="D327" s="1"/>
      <c r="E327" s="1"/>
      <c r="F327" s="1"/>
      <c r="G327" s="1"/>
      <c r="H327" s="1"/>
    </row>
    <row r="328" spans="1:8" ht="15.75" customHeight="1">
      <c r="A328" s="1"/>
      <c r="B328" s="1"/>
      <c r="C328" s="1"/>
      <c r="D328" s="1"/>
      <c r="E328" s="1"/>
      <c r="F328" s="1"/>
      <c r="G328" s="1"/>
      <c r="H328" s="1"/>
    </row>
    <row r="329" spans="1:8" ht="15.75" customHeight="1">
      <c r="A329" s="1"/>
      <c r="B329" s="1"/>
      <c r="C329" s="1"/>
      <c r="D329" s="1"/>
      <c r="E329" s="1"/>
      <c r="F329" s="1"/>
      <c r="G329" s="1"/>
      <c r="H329" s="1"/>
    </row>
    <row r="330" spans="1:8" ht="15.75" customHeight="1">
      <c r="A330" s="1"/>
      <c r="B330" s="1"/>
      <c r="C330" s="1"/>
      <c r="D330" s="1"/>
      <c r="E330" s="1"/>
      <c r="F330" s="1"/>
      <c r="G330" s="1"/>
      <c r="H330" s="1"/>
    </row>
    <row r="331" spans="1:8" ht="15.75" customHeight="1">
      <c r="A331" s="1"/>
      <c r="B331" s="1"/>
      <c r="C331" s="1"/>
      <c r="D331" s="1"/>
      <c r="E331" s="1"/>
      <c r="F331" s="1"/>
      <c r="G331" s="1"/>
      <c r="H331" s="1"/>
    </row>
    <row r="332" spans="1:8" ht="15.75" customHeight="1">
      <c r="A332" s="1"/>
      <c r="B332" s="1"/>
      <c r="C332" s="1"/>
      <c r="D332" s="1"/>
      <c r="E332" s="1"/>
      <c r="F332" s="1"/>
      <c r="G332" s="1"/>
      <c r="H332" s="1"/>
    </row>
    <row r="333" spans="1:8" ht="15.75" customHeight="1">
      <c r="A333" s="1"/>
      <c r="B333" s="1"/>
      <c r="C333" s="1"/>
      <c r="D333" s="1"/>
      <c r="E333" s="1"/>
      <c r="F333" s="1"/>
      <c r="G333" s="1"/>
      <c r="H333" s="1"/>
    </row>
    <row r="334" spans="1:8" ht="15.75" customHeight="1">
      <c r="A334" s="1"/>
      <c r="B334" s="1"/>
      <c r="C334" s="1"/>
      <c r="D334" s="1"/>
      <c r="E334" s="1"/>
      <c r="F334" s="1"/>
      <c r="G334" s="1"/>
      <c r="H334" s="1"/>
    </row>
    <row r="335" spans="1:8" ht="15.75" customHeight="1">
      <c r="A335" s="1"/>
      <c r="B335" s="1"/>
      <c r="C335" s="1"/>
      <c r="D335" s="1"/>
      <c r="E335" s="1"/>
      <c r="F335" s="1"/>
      <c r="G335" s="1"/>
      <c r="H335" s="1"/>
    </row>
    <row r="336" spans="1:8" ht="15.75" customHeight="1">
      <c r="A336" s="1"/>
      <c r="B336" s="1"/>
      <c r="C336" s="1"/>
      <c r="D336" s="1"/>
      <c r="E336" s="1"/>
      <c r="F336" s="1"/>
      <c r="G336" s="1"/>
      <c r="H336" s="1"/>
    </row>
    <row r="337" spans="1:8" ht="15.75" customHeight="1">
      <c r="A337" s="1"/>
      <c r="B337" s="1"/>
      <c r="C337" s="1"/>
      <c r="D337" s="1"/>
      <c r="E337" s="1"/>
      <c r="F337" s="1"/>
      <c r="G337" s="1"/>
      <c r="H337" s="1"/>
    </row>
    <row r="338" spans="1:8" ht="15.75" customHeight="1">
      <c r="A338" s="1"/>
      <c r="B338" s="1"/>
      <c r="C338" s="1"/>
      <c r="D338" s="1"/>
      <c r="E338" s="1"/>
      <c r="F338" s="1"/>
      <c r="G338" s="1"/>
      <c r="H338" s="1"/>
    </row>
    <row r="339" spans="1:8" ht="15.75" customHeight="1">
      <c r="A339" s="1"/>
      <c r="B339" s="1"/>
      <c r="C339" s="1"/>
      <c r="D339" s="1"/>
      <c r="E339" s="1"/>
      <c r="F339" s="1"/>
      <c r="G339" s="1"/>
      <c r="H339" s="1"/>
    </row>
    <row r="340" spans="1:8" ht="15.75" customHeight="1">
      <c r="A340" s="1"/>
      <c r="B340" s="1"/>
      <c r="C340" s="1"/>
      <c r="D340" s="1"/>
      <c r="E340" s="1"/>
      <c r="F340" s="1"/>
      <c r="G340" s="1"/>
      <c r="H340" s="1"/>
    </row>
    <row r="341" spans="1:8" ht="15.75" customHeight="1">
      <c r="A341" s="1"/>
      <c r="B341" s="1"/>
      <c r="C341" s="1"/>
      <c r="D341" s="1"/>
      <c r="E341" s="1"/>
      <c r="F341" s="1"/>
      <c r="G341" s="1"/>
      <c r="H341" s="1"/>
    </row>
    <row r="342" spans="1:8" ht="15.75" customHeight="1">
      <c r="A342" s="1"/>
      <c r="B342" s="1"/>
      <c r="C342" s="1"/>
      <c r="D342" s="1"/>
      <c r="E342" s="1"/>
      <c r="F342" s="1"/>
      <c r="G342" s="1"/>
      <c r="H342" s="1"/>
    </row>
    <row r="343" spans="1:8" ht="15.75" customHeight="1">
      <c r="A343" s="1"/>
      <c r="B343" s="1"/>
      <c r="C343" s="1"/>
      <c r="D343" s="1"/>
      <c r="E343" s="1"/>
      <c r="F343" s="1"/>
      <c r="G343" s="1"/>
      <c r="H343" s="1"/>
    </row>
    <row r="344" spans="1:8" ht="15.75" customHeight="1">
      <c r="A344" s="1"/>
      <c r="B344" s="1"/>
      <c r="C344" s="1"/>
      <c r="D344" s="1"/>
      <c r="E344" s="1"/>
      <c r="F344" s="1"/>
      <c r="G344" s="1"/>
      <c r="H344" s="1"/>
    </row>
    <row r="345" spans="1:8" ht="15.75" customHeight="1">
      <c r="A345" s="1"/>
      <c r="B345" s="1"/>
      <c r="C345" s="1"/>
      <c r="D345" s="1"/>
      <c r="E345" s="1"/>
      <c r="F345" s="1"/>
      <c r="G345" s="1"/>
      <c r="H345" s="1"/>
    </row>
    <row r="346" spans="1:8" ht="15.75" customHeight="1">
      <c r="A346" s="1"/>
      <c r="B346" s="1"/>
      <c r="C346" s="1"/>
      <c r="D346" s="1"/>
      <c r="E346" s="1"/>
      <c r="F346" s="1"/>
      <c r="G346" s="1"/>
      <c r="H346" s="1"/>
    </row>
    <row r="347" spans="1:8" ht="15.75" customHeight="1">
      <c r="A347" s="1"/>
      <c r="B347" s="1"/>
      <c r="C347" s="1"/>
      <c r="D347" s="1"/>
      <c r="E347" s="1"/>
      <c r="F347" s="1"/>
      <c r="G347" s="1"/>
      <c r="H347" s="1"/>
    </row>
    <row r="348" spans="1:8" ht="15.75" customHeight="1">
      <c r="A348" s="1"/>
      <c r="B348" s="1"/>
      <c r="C348" s="1"/>
      <c r="D348" s="1"/>
      <c r="E348" s="1"/>
      <c r="F348" s="1"/>
      <c r="G348" s="1"/>
      <c r="H348" s="1"/>
    </row>
    <row r="349" spans="1:8" ht="15.75" customHeight="1">
      <c r="A349" s="1"/>
      <c r="B349" s="1"/>
      <c r="C349" s="1"/>
      <c r="D349" s="1"/>
      <c r="E349" s="1"/>
      <c r="F349" s="1"/>
      <c r="G349" s="1"/>
      <c r="H349" s="1"/>
    </row>
    <row r="350" spans="1:8" ht="15.75" customHeight="1">
      <c r="A350" s="1"/>
      <c r="B350" s="1"/>
      <c r="C350" s="1"/>
      <c r="D350" s="1"/>
      <c r="E350" s="1"/>
      <c r="F350" s="1"/>
      <c r="G350" s="1"/>
      <c r="H350" s="1"/>
    </row>
    <row r="351" spans="1:8" ht="15.75" customHeight="1">
      <c r="A351" s="1"/>
      <c r="B351" s="1"/>
      <c r="C351" s="1"/>
      <c r="D351" s="1"/>
      <c r="E351" s="1"/>
      <c r="F351" s="1"/>
      <c r="G351" s="1"/>
      <c r="H351" s="1"/>
    </row>
    <row r="352" spans="1:8" ht="15.75" customHeight="1">
      <c r="A352" s="1"/>
      <c r="B352" s="1"/>
      <c r="C352" s="1"/>
      <c r="D352" s="1"/>
      <c r="E352" s="1"/>
      <c r="F352" s="1"/>
      <c r="G352" s="1"/>
      <c r="H352" s="1"/>
    </row>
    <row r="353" spans="1:8" ht="15.75" customHeight="1">
      <c r="A353" s="1"/>
      <c r="B353" s="1"/>
      <c r="C353" s="1"/>
      <c r="D353" s="1"/>
      <c r="E353" s="1"/>
      <c r="F353" s="1"/>
      <c r="G353" s="1"/>
      <c r="H353" s="1"/>
    </row>
    <row r="354" spans="1:8" ht="15.75" customHeight="1">
      <c r="A354" s="1"/>
      <c r="B354" s="1"/>
      <c r="C354" s="1"/>
      <c r="D354" s="1"/>
      <c r="E354" s="1"/>
      <c r="F354" s="1"/>
      <c r="G354" s="1"/>
      <c r="H354" s="1"/>
    </row>
    <row r="355" spans="1:8" ht="15.75" customHeight="1">
      <c r="A355" s="1"/>
      <c r="B355" s="1"/>
      <c r="C355" s="1"/>
      <c r="D355" s="1"/>
      <c r="E355" s="1"/>
      <c r="F355" s="1"/>
      <c r="G355" s="1"/>
      <c r="H355" s="1"/>
    </row>
    <row r="356" spans="1:8" ht="15.75" customHeight="1">
      <c r="A356" s="1"/>
      <c r="B356" s="1"/>
      <c r="C356" s="1"/>
      <c r="D356" s="1"/>
      <c r="E356" s="1"/>
      <c r="F356" s="1"/>
      <c r="G356" s="1"/>
      <c r="H356" s="1"/>
    </row>
    <row r="357" spans="1:8" ht="15.75" customHeight="1">
      <c r="A357" s="1"/>
      <c r="B357" s="1"/>
      <c r="C357" s="1"/>
      <c r="D357" s="1"/>
      <c r="E357" s="1"/>
      <c r="F357" s="1"/>
      <c r="G357" s="1"/>
      <c r="H357" s="1"/>
    </row>
    <row r="358" spans="1:8" ht="15.75" customHeight="1">
      <c r="A358" s="1"/>
      <c r="B358" s="1"/>
      <c r="C358" s="1"/>
      <c r="D358" s="1"/>
      <c r="E358" s="1"/>
      <c r="F358" s="1"/>
      <c r="G358" s="1"/>
      <c r="H358" s="1"/>
    </row>
    <row r="359" spans="1:8" ht="15.75" customHeight="1">
      <c r="A359" s="1"/>
      <c r="B359" s="1"/>
      <c r="C359" s="1"/>
      <c r="D359" s="1"/>
      <c r="E359" s="1"/>
      <c r="F359" s="1"/>
      <c r="G359" s="1"/>
      <c r="H359" s="1"/>
    </row>
    <row r="360" spans="1:8" ht="15.75" customHeight="1">
      <c r="A360" s="1"/>
      <c r="B360" s="1"/>
      <c r="C360" s="1"/>
      <c r="D360" s="1"/>
      <c r="E360" s="1"/>
      <c r="F360" s="1"/>
      <c r="G360" s="1"/>
      <c r="H360" s="1"/>
    </row>
    <row r="361" spans="1:8" ht="15.75" customHeight="1">
      <c r="A361" s="1"/>
      <c r="B361" s="1"/>
      <c r="C361" s="1"/>
      <c r="D361" s="1"/>
      <c r="E361" s="1"/>
      <c r="F361" s="1"/>
      <c r="G361" s="1"/>
      <c r="H361" s="1"/>
    </row>
    <row r="362" spans="1:8" ht="15.75" customHeight="1">
      <c r="A362" s="1"/>
      <c r="B362" s="1"/>
      <c r="C362" s="1"/>
      <c r="D362" s="1"/>
      <c r="E362" s="1"/>
      <c r="F362" s="1"/>
      <c r="G362" s="1"/>
      <c r="H362" s="1"/>
    </row>
    <row r="363" spans="1:8" ht="15.75" customHeight="1">
      <c r="A363" s="1"/>
      <c r="B363" s="1"/>
      <c r="C363" s="1"/>
      <c r="D363" s="1"/>
      <c r="E363" s="1"/>
      <c r="F363" s="1"/>
      <c r="G363" s="1"/>
      <c r="H363" s="1"/>
    </row>
    <row r="364" spans="1:8" ht="15.75" customHeight="1">
      <c r="A364" s="1"/>
      <c r="B364" s="1"/>
      <c r="C364" s="1"/>
      <c r="D364" s="1"/>
      <c r="E364" s="1"/>
      <c r="F364" s="1"/>
      <c r="G364" s="1"/>
      <c r="H364" s="1"/>
    </row>
    <row r="365" spans="1:8" ht="15.75" customHeight="1">
      <c r="A365" s="1"/>
      <c r="B365" s="1"/>
      <c r="C365" s="1"/>
      <c r="D365" s="1"/>
      <c r="E365" s="1"/>
      <c r="F365" s="1"/>
      <c r="G365" s="1"/>
      <c r="H365" s="1"/>
    </row>
    <row r="366" spans="1:8" ht="15.75" customHeight="1">
      <c r="A366" s="1"/>
      <c r="B366" s="1"/>
      <c r="C366" s="1"/>
      <c r="D366" s="1"/>
      <c r="E366" s="1"/>
      <c r="F366" s="1"/>
      <c r="G366" s="1"/>
      <c r="H366" s="1"/>
    </row>
    <row r="367" spans="1:8" ht="15.75" customHeight="1">
      <c r="A367" s="1"/>
      <c r="B367" s="1"/>
      <c r="C367" s="1"/>
      <c r="D367" s="1"/>
      <c r="E367" s="1"/>
      <c r="F367" s="1"/>
      <c r="G367" s="1"/>
      <c r="H367" s="1"/>
    </row>
    <row r="368" spans="1:8" ht="15.75" customHeight="1">
      <c r="A368" s="1"/>
      <c r="B368" s="1"/>
      <c r="C368" s="1"/>
      <c r="D368" s="1"/>
      <c r="E368" s="1"/>
      <c r="F368" s="1"/>
      <c r="G368" s="1"/>
      <c r="H368" s="1"/>
    </row>
    <row r="369" spans="1:8" ht="15.75" customHeight="1">
      <c r="A369" s="1"/>
      <c r="B369" s="1"/>
      <c r="C369" s="1"/>
      <c r="D369" s="1"/>
      <c r="E369" s="1"/>
      <c r="F369" s="1"/>
      <c r="G369" s="1"/>
      <c r="H369" s="1"/>
    </row>
    <row r="370" spans="1:8" ht="15.75" customHeight="1">
      <c r="A370" s="1"/>
      <c r="B370" s="1"/>
      <c r="C370" s="1"/>
      <c r="D370" s="1"/>
      <c r="E370" s="1"/>
      <c r="F370" s="1"/>
      <c r="G370" s="1"/>
      <c r="H370" s="1"/>
    </row>
    <row r="371" spans="1:8" ht="15.75" customHeight="1">
      <c r="A371" s="1"/>
      <c r="B371" s="1"/>
      <c r="C371" s="1"/>
      <c r="D371" s="1"/>
      <c r="E371" s="1"/>
      <c r="F371" s="1"/>
      <c r="G371" s="1"/>
      <c r="H371" s="1"/>
    </row>
    <row r="372" spans="1:8" ht="15.75" customHeight="1">
      <c r="A372" s="1"/>
      <c r="B372" s="1"/>
      <c r="C372" s="1"/>
      <c r="D372" s="1"/>
      <c r="E372" s="1"/>
      <c r="F372" s="1"/>
      <c r="G372" s="1"/>
      <c r="H372" s="1"/>
    </row>
    <row r="373" spans="1:8" ht="15.75" customHeight="1">
      <c r="A373" s="1"/>
      <c r="B373" s="1"/>
      <c r="C373" s="1"/>
      <c r="D373" s="1"/>
      <c r="E373" s="1"/>
      <c r="F373" s="1"/>
      <c r="G373" s="1"/>
      <c r="H373" s="1"/>
    </row>
    <row r="374" spans="1:8" ht="15.75" customHeight="1">
      <c r="A374" s="1"/>
      <c r="B374" s="1"/>
      <c r="C374" s="1"/>
      <c r="D374" s="1"/>
      <c r="E374" s="1"/>
      <c r="F374" s="1"/>
      <c r="G374" s="1"/>
      <c r="H374" s="1"/>
    </row>
    <row r="375" spans="1:8" ht="15.75" customHeight="1">
      <c r="A375" s="1"/>
      <c r="B375" s="1"/>
      <c r="C375" s="1"/>
      <c r="D375" s="1"/>
      <c r="E375" s="1"/>
      <c r="F375" s="1"/>
      <c r="G375" s="1"/>
      <c r="H375" s="1"/>
    </row>
    <row r="376" spans="1:8" ht="15.75" customHeight="1">
      <c r="A376" s="1"/>
      <c r="B376" s="1"/>
      <c r="C376" s="1"/>
      <c r="D376" s="1"/>
      <c r="E376" s="1"/>
      <c r="F376" s="1"/>
      <c r="G376" s="1"/>
      <c r="H376" s="1"/>
    </row>
    <row r="377" spans="1:8" ht="15.75" customHeight="1">
      <c r="A377" s="1"/>
      <c r="B377" s="1"/>
      <c r="C377" s="1"/>
      <c r="D377" s="1"/>
      <c r="E377" s="1"/>
      <c r="F377" s="1"/>
      <c r="G377" s="1"/>
      <c r="H377" s="1"/>
    </row>
    <row r="378" spans="1:8" ht="15.75" customHeight="1">
      <c r="A378" s="1"/>
      <c r="B378" s="1"/>
      <c r="C378" s="1"/>
      <c r="D378" s="1"/>
      <c r="E378" s="1"/>
      <c r="F378" s="1"/>
      <c r="G378" s="1"/>
      <c r="H378" s="1"/>
    </row>
    <row r="379" spans="1:8" ht="15.75" customHeight="1">
      <c r="A379" s="1"/>
      <c r="B379" s="1"/>
      <c r="C379" s="1"/>
      <c r="D379" s="1"/>
      <c r="E379" s="1"/>
      <c r="F379" s="1"/>
      <c r="G379" s="1"/>
      <c r="H379" s="1"/>
    </row>
    <row r="380" spans="1:8" ht="15.75" customHeight="1">
      <c r="A380" s="1"/>
      <c r="B380" s="1"/>
      <c r="C380" s="1"/>
      <c r="D380" s="1"/>
      <c r="E380" s="1"/>
      <c r="F380" s="1"/>
      <c r="G380" s="1"/>
      <c r="H380" s="1"/>
    </row>
    <row r="381" spans="1:8" ht="15.75" customHeight="1">
      <c r="A381" s="1"/>
      <c r="B381" s="1"/>
      <c r="C381" s="1"/>
      <c r="D381" s="1"/>
      <c r="E381" s="1"/>
      <c r="F381" s="1"/>
      <c r="G381" s="1"/>
      <c r="H381" s="1"/>
    </row>
    <row r="382" spans="1:8" ht="15.75" customHeight="1">
      <c r="A382" s="1"/>
      <c r="B382" s="1"/>
      <c r="C382" s="1"/>
      <c r="D382" s="1"/>
      <c r="E382" s="1"/>
      <c r="F382" s="1"/>
      <c r="G382" s="1"/>
      <c r="H382" s="1"/>
    </row>
    <row r="383" spans="1:8" ht="15.75" customHeight="1">
      <c r="A383" s="1"/>
      <c r="B383" s="1"/>
      <c r="C383" s="1"/>
      <c r="D383" s="1"/>
      <c r="E383" s="1"/>
      <c r="F383" s="1"/>
      <c r="G383" s="1"/>
      <c r="H383" s="1"/>
    </row>
    <row r="384" spans="1:8" ht="15.75" customHeight="1">
      <c r="A384" s="1"/>
      <c r="B384" s="1"/>
      <c r="C384" s="1"/>
      <c r="D384" s="1"/>
      <c r="E384" s="1"/>
      <c r="F384" s="1"/>
      <c r="G384" s="1"/>
      <c r="H384" s="1"/>
    </row>
    <row r="385" spans="1:8" ht="15.75" customHeight="1">
      <c r="A385" s="1"/>
      <c r="B385" s="1"/>
      <c r="C385" s="1"/>
      <c r="D385" s="1"/>
      <c r="E385" s="1"/>
      <c r="F385" s="1"/>
      <c r="G385" s="1"/>
      <c r="H385" s="1"/>
    </row>
    <row r="386" spans="1:8" ht="15.75" customHeight="1">
      <c r="A386" s="1"/>
      <c r="B386" s="1"/>
      <c r="C386" s="1"/>
      <c r="D386" s="1"/>
      <c r="E386" s="1"/>
      <c r="F386" s="1"/>
      <c r="G386" s="1"/>
      <c r="H386" s="1"/>
    </row>
    <row r="387" spans="1:8" ht="15.75" customHeight="1">
      <c r="A387" s="1"/>
      <c r="B387" s="1"/>
      <c r="C387" s="1"/>
      <c r="D387" s="1"/>
      <c r="E387" s="1"/>
      <c r="F387" s="1"/>
      <c r="G387" s="1"/>
      <c r="H387" s="1"/>
    </row>
    <row r="388" spans="1:8" ht="15.75" customHeight="1">
      <c r="A388" s="1"/>
      <c r="B388" s="1"/>
      <c r="C388" s="1"/>
      <c r="D388" s="1"/>
      <c r="E388" s="1"/>
      <c r="F388" s="1"/>
      <c r="G388" s="1"/>
      <c r="H388" s="1"/>
    </row>
    <row r="389" spans="1:8" ht="15.75" customHeight="1">
      <c r="A389" s="1"/>
      <c r="B389" s="1"/>
      <c r="C389" s="1"/>
      <c r="D389" s="1"/>
      <c r="E389" s="1"/>
      <c r="F389" s="1"/>
      <c r="G389" s="1"/>
      <c r="H389" s="1"/>
    </row>
    <row r="390" spans="1:8" ht="15.75" customHeight="1">
      <c r="A390" s="1"/>
      <c r="B390" s="1"/>
      <c r="C390" s="1"/>
      <c r="D390" s="1"/>
      <c r="E390" s="1"/>
      <c r="F390" s="1"/>
      <c r="G390" s="1"/>
      <c r="H390" s="1"/>
    </row>
    <row r="391" spans="1:8" ht="15.75" customHeight="1">
      <c r="A391" s="1"/>
      <c r="B391" s="1"/>
      <c r="C391" s="1"/>
      <c r="D391" s="1"/>
      <c r="E391" s="1"/>
      <c r="F391" s="1"/>
      <c r="G391" s="1"/>
      <c r="H391" s="1"/>
    </row>
    <row r="392" spans="1:8" ht="15.75" customHeight="1">
      <c r="A392" s="1"/>
      <c r="B392" s="1"/>
      <c r="C392" s="1"/>
      <c r="D392" s="1"/>
      <c r="E392" s="1"/>
      <c r="F392" s="1"/>
      <c r="G392" s="1"/>
      <c r="H392" s="1"/>
    </row>
    <row r="393" spans="1:8" ht="15.75" customHeight="1">
      <c r="A393" s="1"/>
      <c r="B393" s="1"/>
      <c r="C393" s="1"/>
      <c r="D393" s="1"/>
      <c r="E393" s="1"/>
      <c r="F393" s="1"/>
      <c r="G393" s="1"/>
      <c r="H393" s="1"/>
    </row>
    <row r="394" spans="1:8" ht="15.75" customHeight="1">
      <c r="A394" s="1"/>
      <c r="B394" s="1"/>
      <c r="C394" s="1"/>
      <c r="D394" s="1"/>
      <c r="E394" s="1"/>
      <c r="F394" s="1"/>
      <c r="G394" s="1"/>
      <c r="H394" s="1"/>
    </row>
    <row r="395" spans="1:8" ht="15.75" customHeight="1">
      <c r="A395" s="1"/>
      <c r="B395" s="1"/>
      <c r="C395" s="1"/>
      <c r="D395" s="1"/>
      <c r="E395" s="1"/>
      <c r="F395" s="1"/>
      <c r="G395" s="1"/>
      <c r="H395" s="1"/>
    </row>
    <row r="396" spans="1:8" ht="15.75" customHeight="1">
      <c r="A396" s="1"/>
      <c r="B396" s="1"/>
      <c r="C396" s="1"/>
      <c r="D396" s="1"/>
      <c r="E396" s="1"/>
      <c r="F396" s="1"/>
      <c r="G396" s="1"/>
      <c r="H396" s="1"/>
    </row>
    <row r="397" spans="1:8" ht="15.75" customHeight="1">
      <c r="A397" s="1"/>
      <c r="B397" s="1"/>
      <c r="C397" s="1"/>
      <c r="D397" s="1"/>
      <c r="E397" s="1"/>
      <c r="F397" s="1"/>
      <c r="G397" s="1"/>
      <c r="H397" s="1"/>
    </row>
    <row r="398" spans="1:8" ht="15.75" customHeight="1">
      <c r="A398" s="1"/>
      <c r="B398" s="1"/>
      <c r="C398" s="1"/>
      <c r="D398" s="1"/>
      <c r="E398" s="1"/>
      <c r="F398" s="1"/>
      <c r="G398" s="1"/>
      <c r="H398" s="1"/>
    </row>
    <row r="399" spans="1:8" ht="15.75" customHeight="1">
      <c r="A399" s="1"/>
      <c r="B399" s="1"/>
      <c r="C399" s="1"/>
      <c r="D399" s="1"/>
      <c r="E399" s="1"/>
      <c r="F399" s="1"/>
      <c r="G399" s="1"/>
      <c r="H399" s="1"/>
    </row>
    <row r="400" spans="1:8" ht="15.75" customHeight="1">
      <c r="A400" s="1"/>
      <c r="B400" s="1"/>
      <c r="C400" s="1"/>
      <c r="D400" s="1"/>
      <c r="E400" s="1"/>
      <c r="F400" s="1"/>
      <c r="G400" s="1"/>
      <c r="H400" s="1"/>
    </row>
    <row r="401" spans="1:8" ht="15.75" customHeight="1">
      <c r="A401" s="1"/>
      <c r="B401" s="1"/>
      <c r="C401" s="1"/>
      <c r="D401" s="1"/>
      <c r="E401" s="1"/>
      <c r="F401" s="1"/>
      <c r="G401" s="1"/>
      <c r="H401" s="1"/>
    </row>
    <row r="402" spans="1:8" ht="15.75" customHeight="1">
      <c r="A402" s="1"/>
      <c r="B402" s="1"/>
      <c r="C402" s="1"/>
      <c r="D402" s="1"/>
      <c r="E402" s="1"/>
      <c r="F402" s="1"/>
      <c r="G402" s="1"/>
      <c r="H402" s="1"/>
    </row>
    <row r="403" spans="1:8" ht="15.75" customHeight="1">
      <c r="A403" s="1"/>
      <c r="B403" s="1"/>
      <c r="C403" s="1"/>
      <c r="D403" s="1"/>
      <c r="E403" s="1"/>
      <c r="F403" s="1"/>
      <c r="G403" s="1"/>
      <c r="H403" s="1"/>
    </row>
    <row r="404" spans="1:8" ht="15.75" customHeight="1">
      <c r="A404" s="1"/>
      <c r="B404" s="1"/>
      <c r="C404" s="1"/>
      <c r="D404" s="1"/>
      <c r="E404" s="1"/>
      <c r="F404" s="1"/>
      <c r="G404" s="1"/>
      <c r="H404" s="1"/>
    </row>
    <row r="405" spans="1:8" ht="15.75" customHeight="1">
      <c r="A405" s="1"/>
      <c r="B405" s="1"/>
      <c r="C405" s="1"/>
      <c r="D405" s="1"/>
      <c r="E405" s="1"/>
      <c r="F405" s="1"/>
      <c r="G405" s="1"/>
      <c r="H405" s="1"/>
    </row>
    <row r="406" spans="1:8" ht="15.75" customHeight="1">
      <c r="A406" s="1"/>
      <c r="B406" s="1"/>
      <c r="C406" s="1"/>
      <c r="D406" s="1"/>
      <c r="E406" s="1"/>
      <c r="F406" s="1"/>
      <c r="G406" s="1"/>
      <c r="H406" s="1"/>
    </row>
    <row r="407" spans="1:8" ht="15.75" customHeight="1">
      <c r="A407" s="1"/>
      <c r="B407" s="1"/>
      <c r="C407" s="1"/>
      <c r="D407" s="1"/>
      <c r="E407" s="1"/>
      <c r="F407" s="1"/>
      <c r="G407" s="1"/>
      <c r="H407" s="1"/>
    </row>
    <row r="408" spans="1:8" ht="15.75" customHeight="1">
      <c r="A408" s="1"/>
      <c r="B408" s="1"/>
      <c r="C408" s="1"/>
      <c r="D408" s="1"/>
      <c r="E408" s="1"/>
      <c r="F408" s="1"/>
      <c r="G408" s="1"/>
      <c r="H408" s="1"/>
    </row>
    <row r="409" spans="1:8" ht="15.75" customHeight="1">
      <c r="A409" s="1"/>
      <c r="B409" s="1"/>
      <c r="C409" s="1"/>
      <c r="D409" s="1"/>
      <c r="E409" s="1"/>
      <c r="F409" s="1"/>
      <c r="G409" s="1"/>
      <c r="H409" s="1"/>
    </row>
    <row r="410" spans="1:8" ht="15.75" customHeight="1">
      <c r="A410" s="1"/>
      <c r="B410" s="1"/>
      <c r="C410" s="1"/>
      <c r="D410" s="1"/>
      <c r="E410" s="1"/>
      <c r="F410" s="1"/>
      <c r="G410" s="1"/>
      <c r="H410" s="1"/>
    </row>
    <row r="411" spans="1:8" ht="15.75" customHeight="1">
      <c r="A411" s="1"/>
      <c r="B411" s="1"/>
      <c r="C411" s="1"/>
      <c r="D411" s="1"/>
      <c r="E411" s="1"/>
      <c r="F411" s="1"/>
      <c r="G411" s="1"/>
      <c r="H411" s="1"/>
    </row>
    <row r="412" spans="1:8" ht="15.75" customHeight="1">
      <c r="A412" s="1"/>
      <c r="B412" s="1"/>
      <c r="C412" s="1"/>
      <c r="D412" s="1"/>
      <c r="E412" s="1"/>
      <c r="F412" s="1"/>
      <c r="G412" s="1"/>
      <c r="H412" s="1"/>
    </row>
    <row r="413" spans="1:8" ht="15.75" customHeight="1">
      <c r="A413" s="1"/>
      <c r="B413" s="1"/>
      <c r="C413" s="1"/>
      <c r="D413" s="1"/>
      <c r="E413" s="1"/>
      <c r="F413" s="1"/>
      <c r="G413" s="1"/>
      <c r="H413" s="1"/>
    </row>
    <row r="414" spans="1:8" ht="15.75" customHeight="1">
      <c r="A414" s="1"/>
      <c r="B414" s="1"/>
      <c r="C414" s="1"/>
      <c r="D414" s="1"/>
      <c r="E414" s="1"/>
      <c r="F414" s="1"/>
      <c r="G414" s="1"/>
      <c r="H414" s="1"/>
    </row>
    <row r="415" spans="1:8" ht="15.75" customHeight="1">
      <c r="A415" s="1"/>
      <c r="B415" s="1"/>
      <c r="C415" s="1"/>
      <c r="D415" s="1"/>
      <c r="E415" s="1"/>
      <c r="F415" s="1"/>
      <c r="G415" s="1"/>
      <c r="H415" s="1"/>
    </row>
    <row r="416" spans="1:8" ht="15.75" customHeight="1">
      <c r="A416" s="1"/>
      <c r="B416" s="1"/>
      <c r="C416" s="1"/>
      <c r="D416" s="1"/>
      <c r="E416" s="1"/>
      <c r="F416" s="1"/>
      <c r="G416" s="1"/>
      <c r="H416" s="1"/>
    </row>
    <row r="417" spans="1:8" ht="15.75" customHeight="1">
      <c r="A417" s="1"/>
      <c r="B417" s="1"/>
      <c r="C417" s="1"/>
      <c r="D417" s="1"/>
      <c r="E417" s="1"/>
      <c r="F417" s="1"/>
      <c r="G417" s="1"/>
      <c r="H417" s="1"/>
    </row>
    <row r="418" spans="1:8" ht="15.75" customHeight="1">
      <c r="A418" s="1"/>
      <c r="B418" s="1"/>
      <c r="C418" s="1"/>
      <c r="D418" s="1"/>
      <c r="E418" s="1"/>
      <c r="F418" s="1"/>
      <c r="G418" s="1"/>
      <c r="H418" s="1"/>
    </row>
    <row r="419" spans="1:8" ht="15.75" customHeight="1">
      <c r="A419" s="1"/>
      <c r="B419" s="1"/>
      <c r="C419" s="1"/>
      <c r="D419" s="1"/>
      <c r="E419" s="1"/>
      <c r="F419" s="1"/>
      <c r="G419" s="1"/>
      <c r="H419" s="1"/>
    </row>
    <row r="420" spans="1:8" ht="15.75" customHeight="1">
      <c r="A420" s="1"/>
      <c r="B420" s="1"/>
      <c r="C420" s="1"/>
      <c r="D420" s="1"/>
      <c r="E420" s="1"/>
      <c r="F420" s="1"/>
      <c r="G420" s="1"/>
      <c r="H420" s="1"/>
    </row>
    <row r="421" spans="1:8" ht="15.75" customHeight="1">
      <c r="A421" s="1"/>
      <c r="B421" s="1"/>
      <c r="C421" s="1"/>
      <c r="D421" s="1"/>
      <c r="E421" s="1"/>
      <c r="F421" s="1"/>
      <c r="G421" s="1"/>
      <c r="H421" s="1"/>
    </row>
    <row r="422" spans="1:8" ht="15.75" customHeight="1">
      <c r="A422" s="1"/>
      <c r="B422" s="1"/>
      <c r="C422" s="1"/>
      <c r="D422" s="1"/>
      <c r="E422" s="1"/>
      <c r="F422" s="1"/>
      <c r="G422" s="1"/>
      <c r="H422" s="1"/>
    </row>
    <row r="423" spans="1:8" ht="15.75" customHeight="1">
      <c r="A423" s="1"/>
      <c r="B423" s="1"/>
      <c r="C423" s="1"/>
      <c r="D423" s="1"/>
      <c r="E423" s="1"/>
      <c r="F423" s="1"/>
      <c r="G423" s="1"/>
      <c r="H423" s="1"/>
    </row>
    <row r="424" spans="1:8" ht="15.75" customHeight="1">
      <c r="A424" s="1"/>
      <c r="B424" s="1"/>
      <c r="C424" s="1"/>
      <c r="D424" s="1"/>
      <c r="E424" s="1"/>
      <c r="F424" s="1"/>
      <c r="G424" s="1"/>
      <c r="H424" s="1"/>
    </row>
    <row r="425" spans="1:8" ht="15.75" customHeight="1">
      <c r="A425" s="1"/>
      <c r="B425" s="1"/>
      <c r="C425" s="1"/>
      <c r="D425" s="1"/>
      <c r="E425" s="1"/>
      <c r="F425" s="1"/>
      <c r="G425" s="1"/>
      <c r="H425" s="1"/>
    </row>
    <row r="426" spans="1:8" ht="15.75" customHeight="1">
      <c r="A426" s="1"/>
      <c r="B426" s="1"/>
      <c r="C426" s="1"/>
      <c r="D426" s="1"/>
      <c r="E426" s="1"/>
      <c r="F426" s="1"/>
      <c r="G426" s="1"/>
      <c r="H426" s="1"/>
    </row>
    <row r="427" spans="1:8" ht="15.75" customHeight="1">
      <c r="A427" s="1"/>
      <c r="B427" s="1"/>
      <c r="C427" s="1"/>
      <c r="D427" s="1"/>
      <c r="E427" s="1"/>
      <c r="F427" s="1"/>
      <c r="G427" s="1"/>
      <c r="H427" s="1"/>
    </row>
    <row r="428" spans="1:8" ht="15.75" customHeight="1">
      <c r="A428" s="1"/>
      <c r="B428" s="1"/>
      <c r="C428" s="1"/>
      <c r="D428" s="1"/>
      <c r="E428" s="1"/>
      <c r="F428" s="1"/>
      <c r="G428" s="1"/>
      <c r="H428" s="1"/>
    </row>
    <row r="429" spans="1:8" ht="15.75" customHeight="1">
      <c r="A429" s="1"/>
      <c r="B429" s="1"/>
      <c r="C429" s="1"/>
      <c r="D429" s="1"/>
      <c r="E429" s="1"/>
      <c r="F429" s="1"/>
      <c r="G429" s="1"/>
      <c r="H429" s="1"/>
    </row>
    <row r="430" spans="1:8" ht="15.75" customHeight="1">
      <c r="A430" s="1"/>
      <c r="B430" s="1"/>
      <c r="C430" s="1"/>
      <c r="D430" s="1"/>
      <c r="E430" s="1"/>
      <c r="F430" s="1"/>
      <c r="G430" s="1"/>
      <c r="H430" s="1"/>
    </row>
    <row r="431" spans="1:8" ht="15.75" customHeight="1">
      <c r="A431" s="1"/>
      <c r="B431" s="1"/>
      <c r="C431" s="1"/>
      <c r="D431" s="1"/>
      <c r="E431" s="1"/>
      <c r="F431" s="1"/>
      <c r="G431" s="1"/>
      <c r="H431" s="1"/>
    </row>
    <row r="432" spans="1:8" ht="15.75" customHeight="1">
      <c r="A432" s="1"/>
      <c r="B432" s="1"/>
      <c r="C432" s="1"/>
      <c r="D432" s="1"/>
      <c r="E432" s="1"/>
      <c r="F432" s="1"/>
      <c r="G432" s="1"/>
      <c r="H432" s="1"/>
    </row>
    <row r="433" spans="1:8" ht="15.75" customHeight="1">
      <c r="A433" s="1"/>
      <c r="B433" s="1"/>
      <c r="C433" s="1"/>
      <c r="D433" s="1"/>
      <c r="E433" s="1"/>
      <c r="F433" s="1"/>
      <c r="G433" s="1"/>
      <c r="H433" s="1"/>
    </row>
    <row r="434" spans="1:8" ht="15.75" customHeight="1">
      <c r="A434" s="1"/>
      <c r="B434" s="1"/>
      <c r="C434" s="1"/>
      <c r="D434" s="1"/>
      <c r="E434" s="1"/>
      <c r="F434" s="1"/>
      <c r="G434" s="1"/>
      <c r="H434" s="1"/>
    </row>
    <row r="435" spans="1:8" ht="15.75" customHeight="1">
      <c r="A435" s="1"/>
      <c r="B435" s="1"/>
      <c r="C435" s="1"/>
      <c r="D435" s="1"/>
      <c r="E435" s="1"/>
      <c r="F435" s="1"/>
      <c r="G435" s="1"/>
      <c r="H435" s="1"/>
    </row>
    <row r="436" spans="1:8" ht="15.75" customHeight="1">
      <c r="A436" s="1"/>
      <c r="B436" s="1"/>
      <c r="C436" s="1"/>
      <c r="D436" s="1"/>
      <c r="E436" s="1"/>
      <c r="F436" s="1"/>
      <c r="G436" s="1"/>
      <c r="H436" s="1"/>
    </row>
    <row r="437" spans="1:8" ht="15.75" customHeight="1">
      <c r="A437" s="1"/>
      <c r="B437" s="1"/>
      <c r="C437" s="1"/>
      <c r="D437" s="1"/>
      <c r="E437" s="1"/>
      <c r="F437" s="1"/>
      <c r="G437" s="1"/>
      <c r="H437" s="1"/>
    </row>
    <row r="438" spans="1:8" ht="15.75" customHeight="1">
      <c r="A438" s="1"/>
      <c r="B438" s="1"/>
      <c r="C438" s="1"/>
      <c r="D438" s="1"/>
      <c r="E438" s="1"/>
      <c r="F438" s="1"/>
      <c r="G438" s="1"/>
      <c r="H438" s="1"/>
    </row>
    <row r="439" spans="1:8" ht="15.75" customHeight="1">
      <c r="A439" s="1"/>
      <c r="B439" s="1"/>
      <c r="C439" s="1"/>
      <c r="D439" s="1"/>
      <c r="E439" s="1"/>
      <c r="F439" s="1"/>
      <c r="G439" s="1"/>
      <c r="H439" s="1"/>
    </row>
    <row r="440" spans="1:8" ht="15.75" customHeight="1">
      <c r="A440" s="1"/>
      <c r="B440" s="1"/>
      <c r="C440" s="1"/>
      <c r="D440" s="1"/>
      <c r="E440" s="1"/>
      <c r="F440" s="1"/>
      <c r="G440" s="1"/>
      <c r="H440" s="1"/>
    </row>
    <row r="441" spans="1:8" ht="15.75" customHeight="1">
      <c r="A441" s="1"/>
      <c r="B441" s="1"/>
      <c r="C441" s="1"/>
      <c r="D441" s="1"/>
      <c r="E441" s="1"/>
      <c r="F441" s="1"/>
      <c r="G441" s="1"/>
      <c r="H441" s="1"/>
    </row>
    <row r="442" spans="1:8" ht="15.75" customHeight="1">
      <c r="A442" s="1"/>
      <c r="B442" s="1"/>
      <c r="C442" s="1"/>
      <c r="D442" s="1"/>
      <c r="E442" s="1"/>
      <c r="F442" s="1"/>
      <c r="G442" s="1"/>
      <c r="H442" s="1"/>
    </row>
    <row r="443" spans="1:8" ht="15.75" customHeight="1">
      <c r="A443" s="1"/>
      <c r="B443" s="1"/>
      <c r="C443" s="1"/>
      <c r="D443" s="1"/>
      <c r="E443" s="1"/>
      <c r="F443" s="1"/>
      <c r="G443" s="1"/>
      <c r="H443" s="1"/>
    </row>
    <row r="444" spans="1:8" ht="15.75" customHeight="1">
      <c r="A444" s="1"/>
      <c r="B444" s="1"/>
      <c r="C444" s="1"/>
      <c r="D444" s="1"/>
      <c r="E444" s="1"/>
      <c r="F444" s="1"/>
      <c r="G444" s="1"/>
      <c r="H444" s="1"/>
    </row>
    <row r="445" spans="1:8" ht="15.75" customHeight="1">
      <c r="A445" s="1"/>
      <c r="B445" s="1"/>
      <c r="C445" s="1"/>
      <c r="D445" s="1"/>
      <c r="E445" s="1"/>
      <c r="F445" s="1"/>
      <c r="G445" s="1"/>
      <c r="H445" s="1"/>
    </row>
    <row r="446" spans="1:8" ht="15.75" customHeight="1">
      <c r="A446" s="1"/>
      <c r="B446" s="1"/>
      <c r="C446" s="1"/>
      <c r="D446" s="1"/>
      <c r="E446" s="1"/>
      <c r="F446" s="1"/>
      <c r="G446" s="1"/>
      <c r="H446" s="1"/>
    </row>
    <row r="447" spans="1:8" ht="15.75" customHeight="1">
      <c r="A447" s="1"/>
      <c r="B447" s="1"/>
      <c r="C447" s="1"/>
      <c r="D447" s="1"/>
      <c r="E447" s="1"/>
      <c r="F447" s="1"/>
      <c r="G447" s="1"/>
      <c r="H447" s="1"/>
    </row>
    <row r="448" spans="1:8" ht="15.75" customHeight="1">
      <c r="A448" s="1"/>
      <c r="B448" s="1"/>
      <c r="C448" s="1"/>
      <c r="D448" s="1"/>
      <c r="E448" s="1"/>
      <c r="F448" s="1"/>
      <c r="G448" s="1"/>
      <c r="H448" s="1"/>
    </row>
    <row r="449" spans="1:8" ht="15.75" customHeight="1">
      <c r="A449" s="1"/>
      <c r="B449" s="1"/>
      <c r="C449" s="1"/>
      <c r="D449" s="1"/>
      <c r="E449" s="1"/>
      <c r="F449" s="1"/>
      <c r="G449" s="1"/>
      <c r="H449" s="1"/>
    </row>
    <row r="450" spans="1:8" ht="15.75" customHeight="1">
      <c r="A450" s="1"/>
      <c r="B450" s="1"/>
      <c r="C450" s="1"/>
      <c r="D450" s="1"/>
      <c r="E450" s="1"/>
      <c r="F450" s="1"/>
      <c r="G450" s="1"/>
      <c r="H450" s="1"/>
    </row>
    <row r="451" spans="1:8" ht="15.75" customHeight="1">
      <c r="A451" s="1"/>
      <c r="B451" s="1"/>
      <c r="C451" s="1"/>
      <c r="D451" s="1"/>
      <c r="E451" s="1"/>
      <c r="F451" s="1"/>
      <c r="G451" s="1"/>
      <c r="H451" s="1"/>
    </row>
    <row r="452" spans="1:8" ht="15.75" customHeight="1">
      <c r="A452" s="1"/>
      <c r="B452" s="1"/>
      <c r="C452" s="1"/>
      <c r="D452" s="1"/>
      <c r="E452" s="1"/>
      <c r="F452" s="1"/>
      <c r="G452" s="1"/>
      <c r="H452" s="1"/>
    </row>
    <row r="453" spans="1:8" ht="15.75" customHeight="1">
      <c r="A453" s="1"/>
      <c r="B453" s="1"/>
      <c r="C453" s="1"/>
      <c r="D453" s="1"/>
      <c r="E453" s="1"/>
      <c r="F453" s="1"/>
      <c r="G453" s="1"/>
      <c r="H453" s="1"/>
    </row>
    <row r="454" spans="1:8" ht="15.75" customHeight="1">
      <c r="A454" s="1"/>
      <c r="B454" s="1"/>
      <c r="C454" s="1"/>
      <c r="D454" s="1"/>
      <c r="E454" s="1"/>
      <c r="F454" s="1"/>
      <c r="G454" s="1"/>
      <c r="H454" s="1"/>
    </row>
    <row r="455" spans="1:8" ht="15.75" customHeight="1">
      <c r="A455" s="1"/>
      <c r="B455" s="1"/>
      <c r="C455" s="1"/>
      <c r="D455" s="1"/>
      <c r="E455" s="1"/>
      <c r="F455" s="1"/>
      <c r="G455" s="1"/>
      <c r="H455" s="1"/>
    </row>
    <row r="456" spans="1:8" ht="15.75" customHeight="1">
      <c r="A456" s="1"/>
      <c r="B456" s="1"/>
      <c r="C456" s="1"/>
      <c r="D456" s="1"/>
      <c r="E456" s="1"/>
      <c r="F456" s="1"/>
      <c r="G456" s="1"/>
      <c r="H456" s="1"/>
    </row>
    <row r="457" spans="1:8" ht="15.75" customHeight="1">
      <c r="A457" s="1"/>
      <c r="B457" s="1"/>
      <c r="C457" s="1"/>
      <c r="D457" s="1"/>
      <c r="E457" s="1"/>
      <c r="F457" s="1"/>
      <c r="G457" s="1"/>
      <c r="H457" s="1"/>
    </row>
    <row r="458" spans="1:8" ht="15.75" customHeight="1">
      <c r="A458" s="1"/>
      <c r="B458" s="1"/>
      <c r="C458" s="1"/>
      <c r="D458" s="1"/>
      <c r="E458" s="1"/>
      <c r="F458" s="1"/>
      <c r="G458" s="1"/>
      <c r="H458" s="1"/>
    </row>
    <row r="459" spans="1:8" ht="15.75" customHeight="1">
      <c r="A459" s="1"/>
      <c r="B459" s="1"/>
      <c r="C459" s="1"/>
      <c r="D459" s="1"/>
      <c r="E459" s="1"/>
      <c r="F459" s="1"/>
      <c r="G459" s="1"/>
      <c r="H459" s="1"/>
    </row>
    <row r="460" spans="1:8" ht="15.75" customHeight="1">
      <c r="A460" s="1"/>
      <c r="B460" s="1"/>
      <c r="C460" s="1"/>
      <c r="D460" s="1"/>
      <c r="E460" s="1"/>
      <c r="F460" s="1"/>
      <c r="G460" s="1"/>
      <c r="H460" s="1"/>
    </row>
    <row r="461" spans="1:8" ht="15.75" customHeight="1">
      <c r="A461" s="1"/>
      <c r="B461" s="1"/>
      <c r="C461" s="1"/>
      <c r="D461" s="1"/>
      <c r="E461" s="1"/>
      <c r="F461" s="1"/>
      <c r="G461" s="1"/>
      <c r="H461" s="1"/>
    </row>
    <row r="462" spans="1:8" ht="15.75" customHeight="1">
      <c r="A462" s="1"/>
      <c r="B462" s="1"/>
      <c r="C462" s="1"/>
      <c r="D462" s="1"/>
      <c r="E462" s="1"/>
      <c r="F462" s="1"/>
      <c r="G462" s="1"/>
      <c r="H462" s="1"/>
    </row>
    <row r="463" spans="1:8" ht="15.75" customHeight="1">
      <c r="A463" s="1"/>
      <c r="B463" s="1"/>
      <c r="C463" s="1"/>
      <c r="D463" s="1"/>
      <c r="E463" s="1"/>
      <c r="F463" s="1"/>
      <c r="G463" s="1"/>
      <c r="H463" s="1"/>
    </row>
    <row r="464" spans="1:8" ht="15.75" customHeight="1">
      <c r="A464" s="1"/>
      <c r="B464" s="1"/>
      <c r="C464" s="1"/>
      <c r="D464" s="1"/>
      <c r="E464" s="1"/>
      <c r="F464" s="1"/>
      <c r="G464" s="1"/>
      <c r="H464" s="1"/>
    </row>
    <row r="465" spans="1:8" ht="15.75" customHeight="1">
      <c r="A465" s="1"/>
      <c r="B465" s="1"/>
      <c r="C465" s="1"/>
      <c r="D465" s="1"/>
      <c r="E465" s="1"/>
      <c r="F465" s="1"/>
      <c r="G465" s="1"/>
      <c r="H465" s="1"/>
    </row>
    <row r="466" spans="1:8" ht="15.75" customHeight="1">
      <c r="A466" s="1"/>
      <c r="B466" s="1"/>
      <c r="C466" s="1"/>
      <c r="D466" s="1"/>
      <c r="E466" s="1"/>
      <c r="F466" s="1"/>
      <c r="G466" s="1"/>
      <c r="H466" s="1"/>
    </row>
    <row r="467" spans="1:8" ht="15.75" customHeight="1">
      <c r="A467" s="1"/>
      <c r="B467" s="1"/>
      <c r="C467" s="1"/>
      <c r="D467" s="1"/>
      <c r="E467" s="1"/>
      <c r="F467" s="1"/>
      <c r="G467" s="1"/>
      <c r="H467" s="1"/>
    </row>
    <row r="468" spans="1:8" ht="15.75" customHeight="1">
      <c r="A468" s="1"/>
      <c r="B468" s="1"/>
      <c r="C468" s="1"/>
      <c r="D468" s="1"/>
      <c r="E468" s="1"/>
      <c r="F468" s="1"/>
      <c r="G468" s="1"/>
      <c r="H468" s="1"/>
    </row>
    <row r="469" spans="1:8" ht="15.75" customHeight="1">
      <c r="A469" s="1"/>
      <c r="B469" s="1"/>
      <c r="C469" s="1"/>
      <c r="D469" s="1"/>
      <c r="E469" s="1"/>
      <c r="F469" s="1"/>
      <c r="G469" s="1"/>
      <c r="H469" s="1"/>
    </row>
    <row r="470" spans="1:8" ht="15.75" customHeight="1">
      <c r="A470" s="1"/>
      <c r="B470" s="1"/>
      <c r="C470" s="1"/>
      <c r="D470" s="1"/>
      <c r="E470" s="1"/>
      <c r="F470" s="1"/>
      <c r="G470" s="1"/>
      <c r="H470" s="1"/>
    </row>
    <row r="471" spans="1:8" ht="15.75" customHeight="1">
      <c r="A471" s="1"/>
      <c r="B471" s="1"/>
      <c r="C471" s="1"/>
      <c r="D471" s="1"/>
      <c r="E471" s="1"/>
      <c r="F471" s="1"/>
      <c r="G471" s="1"/>
      <c r="H471" s="1"/>
    </row>
    <row r="472" spans="1:8" ht="15.75" customHeight="1">
      <c r="A472" s="1"/>
      <c r="B472" s="1"/>
      <c r="C472" s="1"/>
      <c r="D472" s="1"/>
      <c r="E472" s="1"/>
      <c r="F472" s="1"/>
      <c r="G472" s="1"/>
      <c r="H472" s="1"/>
    </row>
    <row r="473" spans="1:8" ht="15.75" customHeight="1">
      <c r="A473" s="1"/>
      <c r="B473" s="1"/>
      <c r="C473" s="1"/>
      <c r="D473" s="1"/>
      <c r="E473" s="1"/>
      <c r="F473" s="1"/>
      <c r="G473" s="1"/>
      <c r="H473" s="1"/>
    </row>
    <row r="474" spans="1:8" ht="15.75" customHeight="1">
      <c r="A474" s="1"/>
      <c r="B474" s="1"/>
      <c r="C474" s="1"/>
      <c r="D474" s="1"/>
      <c r="E474" s="1"/>
      <c r="F474" s="1"/>
      <c r="G474" s="1"/>
      <c r="H474" s="1"/>
    </row>
    <row r="475" spans="1:8" ht="15.75" customHeight="1">
      <c r="A475" s="1"/>
      <c r="B475" s="1"/>
      <c r="C475" s="1"/>
      <c r="D475" s="1"/>
      <c r="E475" s="1"/>
      <c r="F475" s="1"/>
      <c r="G475" s="1"/>
      <c r="H475" s="1"/>
    </row>
    <row r="476" spans="1:8" ht="15.75" customHeight="1">
      <c r="A476" s="1"/>
      <c r="B476" s="1"/>
      <c r="C476" s="1"/>
      <c r="D476" s="1"/>
      <c r="E476" s="1"/>
      <c r="F476" s="1"/>
      <c r="G476" s="1"/>
      <c r="H476" s="1"/>
    </row>
    <row r="477" spans="1:8" ht="15.75" customHeight="1">
      <c r="A477" s="1"/>
      <c r="B477" s="1"/>
      <c r="C477" s="1"/>
      <c r="D477" s="1"/>
      <c r="E477" s="1"/>
      <c r="F477" s="1"/>
      <c r="G477" s="1"/>
      <c r="H477" s="1"/>
    </row>
    <row r="478" spans="1:8" ht="15.75" customHeight="1">
      <c r="A478" s="1"/>
      <c r="B478" s="1"/>
      <c r="C478" s="1"/>
      <c r="D478" s="1"/>
      <c r="E478" s="1"/>
      <c r="F478" s="1"/>
      <c r="G478" s="1"/>
      <c r="H478" s="1"/>
    </row>
    <row r="479" spans="1:8" ht="15.75" customHeight="1">
      <c r="A479" s="1"/>
      <c r="B479" s="1"/>
      <c r="C479" s="1"/>
      <c r="D479" s="1"/>
      <c r="E479" s="1"/>
      <c r="F479" s="1"/>
      <c r="G479" s="1"/>
      <c r="H479" s="1"/>
    </row>
    <row r="480" spans="1:8" ht="15.75" customHeight="1">
      <c r="A480" s="1"/>
      <c r="B480" s="1"/>
      <c r="C480" s="1"/>
      <c r="D480" s="1"/>
      <c r="E480" s="1"/>
      <c r="F480" s="1"/>
      <c r="G480" s="1"/>
      <c r="H480" s="1"/>
    </row>
    <row r="481" spans="1:8" ht="15.75" customHeight="1">
      <c r="A481" s="1"/>
      <c r="B481" s="1"/>
      <c r="C481" s="1"/>
      <c r="D481" s="1"/>
      <c r="E481" s="1"/>
      <c r="F481" s="1"/>
      <c r="G481" s="1"/>
      <c r="H481" s="1"/>
    </row>
    <row r="482" spans="1:8" ht="15.75" customHeight="1">
      <c r="A482" s="1"/>
      <c r="B482" s="1"/>
      <c r="C482" s="1"/>
      <c r="D482" s="1"/>
      <c r="E482" s="1"/>
      <c r="F482" s="1"/>
      <c r="G482" s="1"/>
      <c r="H482" s="1"/>
    </row>
    <row r="483" spans="1:8" ht="15.75" customHeight="1">
      <c r="A483" s="1"/>
      <c r="B483" s="1"/>
      <c r="C483" s="1"/>
      <c r="D483" s="1"/>
      <c r="E483" s="1"/>
      <c r="F483" s="1"/>
      <c r="G483" s="1"/>
      <c r="H483" s="1"/>
    </row>
    <row r="484" spans="1:8" ht="15.75" customHeight="1">
      <c r="A484" s="1"/>
      <c r="B484" s="1"/>
      <c r="C484" s="1"/>
      <c r="D484" s="1"/>
      <c r="E484" s="1"/>
      <c r="F484" s="1"/>
      <c r="G484" s="1"/>
      <c r="H484" s="1"/>
    </row>
    <row r="485" spans="1:8" ht="15.75" customHeight="1">
      <c r="A485" s="1"/>
      <c r="B485" s="1"/>
      <c r="C485" s="1"/>
      <c r="D485" s="1"/>
      <c r="E485" s="1"/>
      <c r="F485" s="1"/>
      <c r="G485" s="1"/>
      <c r="H485" s="1"/>
    </row>
    <row r="486" spans="1:8" ht="15.75" customHeight="1">
      <c r="A486" s="1"/>
      <c r="B486" s="1"/>
      <c r="C486" s="1"/>
      <c r="D486" s="1"/>
      <c r="E486" s="1"/>
      <c r="F486" s="1"/>
      <c r="G486" s="1"/>
      <c r="H486" s="1"/>
    </row>
    <row r="487" spans="1:8" ht="15.75" customHeight="1">
      <c r="A487" s="1"/>
      <c r="B487" s="1"/>
      <c r="C487" s="1"/>
      <c r="D487" s="1"/>
      <c r="E487" s="1"/>
      <c r="F487" s="1"/>
      <c r="G487" s="1"/>
      <c r="H487" s="1"/>
    </row>
    <row r="488" spans="1:8" ht="15.75" customHeight="1">
      <c r="A488" s="1"/>
      <c r="B488" s="1"/>
      <c r="C488" s="1"/>
      <c r="D488" s="1"/>
      <c r="E488" s="1"/>
      <c r="F488" s="1"/>
      <c r="G488" s="1"/>
      <c r="H488" s="1"/>
    </row>
    <row r="489" spans="1:8" ht="15.75" customHeight="1">
      <c r="A489" s="1"/>
      <c r="B489" s="1"/>
      <c r="C489" s="1"/>
      <c r="D489" s="1"/>
      <c r="E489" s="1"/>
      <c r="F489" s="1"/>
      <c r="G489" s="1"/>
      <c r="H489" s="1"/>
    </row>
    <row r="490" spans="1:8" ht="15.75" customHeight="1">
      <c r="A490" s="1"/>
      <c r="B490" s="1"/>
      <c r="C490" s="1"/>
      <c r="D490" s="1"/>
      <c r="E490" s="1"/>
      <c r="F490" s="1"/>
      <c r="G490" s="1"/>
      <c r="H490" s="1"/>
    </row>
    <row r="491" spans="1:8" ht="15.75" customHeight="1">
      <c r="A491" s="1"/>
      <c r="B491" s="1"/>
      <c r="C491" s="1"/>
      <c r="D491" s="1"/>
      <c r="E491" s="1"/>
      <c r="F491" s="1"/>
      <c r="G491" s="1"/>
      <c r="H491" s="1"/>
    </row>
    <row r="492" spans="1:8" ht="15.75" customHeight="1">
      <c r="A492" s="1"/>
      <c r="B492" s="1"/>
      <c r="C492" s="1"/>
      <c r="D492" s="1"/>
      <c r="E492" s="1"/>
      <c r="F492" s="1"/>
      <c r="G492" s="1"/>
      <c r="H492" s="1"/>
    </row>
    <row r="493" spans="1:8" ht="15.75" customHeight="1">
      <c r="A493" s="1"/>
      <c r="B493" s="1"/>
      <c r="C493" s="1"/>
      <c r="D493" s="1"/>
      <c r="E493" s="1"/>
      <c r="F493" s="1"/>
      <c r="G493" s="1"/>
      <c r="H493" s="1"/>
    </row>
    <row r="494" spans="1:8" ht="15.75" customHeight="1">
      <c r="A494" s="1"/>
      <c r="B494" s="1"/>
      <c r="C494" s="1"/>
      <c r="D494" s="1"/>
      <c r="E494" s="1"/>
      <c r="F494" s="1"/>
      <c r="G494" s="1"/>
      <c r="H494" s="1"/>
    </row>
    <row r="495" spans="1:8" ht="15.75" customHeight="1">
      <c r="A495" s="1"/>
      <c r="B495" s="1"/>
      <c r="C495" s="1"/>
      <c r="D495" s="1"/>
      <c r="E495" s="1"/>
      <c r="F495" s="1"/>
      <c r="G495" s="1"/>
      <c r="H495" s="1"/>
    </row>
    <row r="496" spans="1:8" ht="15.75" customHeight="1">
      <c r="A496" s="1"/>
      <c r="B496" s="1"/>
      <c r="C496" s="1"/>
      <c r="D496" s="1"/>
      <c r="E496" s="1"/>
      <c r="F496" s="1"/>
      <c r="G496" s="1"/>
      <c r="H496" s="1"/>
    </row>
    <row r="497" spans="1:8" ht="15.75" customHeight="1">
      <c r="A497" s="1"/>
      <c r="B497" s="1"/>
      <c r="C497" s="1"/>
      <c r="D497" s="1"/>
      <c r="E497" s="1"/>
      <c r="F497" s="1"/>
      <c r="G497" s="1"/>
      <c r="H497" s="1"/>
    </row>
    <row r="498" spans="1:8" ht="15.75" customHeight="1">
      <c r="A498" s="1"/>
      <c r="B498" s="1"/>
      <c r="C498" s="1"/>
      <c r="D498" s="1"/>
      <c r="E498" s="1"/>
      <c r="F498" s="1"/>
      <c r="G498" s="1"/>
      <c r="H498" s="1"/>
    </row>
    <row r="499" spans="1:8" ht="15.75" customHeight="1">
      <c r="A499" s="1"/>
      <c r="B499" s="1"/>
      <c r="C499" s="1"/>
      <c r="D499" s="1"/>
      <c r="E499" s="1"/>
      <c r="F499" s="1"/>
      <c r="G499" s="1"/>
      <c r="H499" s="1"/>
    </row>
    <row r="500" spans="1:8" ht="15.75" customHeight="1">
      <c r="A500" s="1"/>
      <c r="B500" s="1"/>
      <c r="C500" s="1"/>
      <c r="D500" s="1"/>
      <c r="E500" s="1"/>
      <c r="F500" s="1"/>
      <c r="G500" s="1"/>
      <c r="H500" s="1"/>
    </row>
    <row r="501" spans="1:8" ht="15.75" customHeight="1">
      <c r="A501" s="1"/>
      <c r="B501" s="1"/>
      <c r="C501" s="1"/>
      <c r="D501" s="1"/>
      <c r="E501" s="1"/>
      <c r="F501" s="1"/>
      <c r="G501" s="1"/>
      <c r="H501" s="1"/>
    </row>
    <row r="502" spans="1:8" ht="15.75" customHeight="1">
      <c r="A502" s="1"/>
      <c r="B502" s="1"/>
      <c r="C502" s="1"/>
      <c r="D502" s="1"/>
      <c r="E502" s="1"/>
      <c r="F502" s="1"/>
      <c r="G502" s="1"/>
      <c r="H502" s="1"/>
    </row>
    <row r="503" spans="1:8" ht="15.75" customHeight="1">
      <c r="A503" s="1"/>
      <c r="B503" s="1"/>
      <c r="C503" s="1"/>
      <c r="D503" s="1"/>
      <c r="E503" s="1"/>
      <c r="F503" s="1"/>
      <c r="G503" s="1"/>
      <c r="H503" s="1"/>
    </row>
    <row r="504" spans="1:8" ht="15.75" customHeight="1">
      <c r="A504" s="1"/>
      <c r="B504" s="1"/>
      <c r="C504" s="1"/>
      <c r="D504" s="1"/>
      <c r="E504" s="1"/>
      <c r="F504" s="1"/>
      <c r="G504" s="1"/>
      <c r="H504" s="1"/>
    </row>
    <row r="505" spans="1:8" ht="15.75" customHeight="1">
      <c r="A505" s="1"/>
      <c r="B505" s="1"/>
      <c r="C505" s="1"/>
      <c r="D505" s="1"/>
      <c r="E505" s="1"/>
      <c r="F505" s="1"/>
      <c r="G505" s="1"/>
      <c r="H505" s="1"/>
    </row>
    <row r="506" spans="1:8" ht="15.75" customHeight="1">
      <c r="A506" s="1"/>
      <c r="B506" s="1"/>
      <c r="C506" s="1"/>
      <c r="D506" s="1"/>
      <c r="E506" s="1"/>
      <c r="F506" s="1"/>
      <c r="G506" s="1"/>
      <c r="H506" s="1"/>
    </row>
    <row r="507" spans="1:8" ht="15.75" customHeight="1">
      <c r="A507" s="1"/>
      <c r="B507" s="1"/>
      <c r="C507" s="1"/>
      <c r="D507" s="1"/>
      <c r="E507" s="1"/>
      <c r="F507" s="1"/>
      <c r="G507" s="1"/>
      <c r="H507" s="1"/>
    </row>
    <row r="508" spans="1:8" ht="15.75" customHeight="1">
      <c r="A508" s="1"/>
      <c r="B508" s="1"/>
      <c r="C508" s="1"/>
      <c r="D508" s="1"/>
      <c r="E508" s="1"/>
      <c r="F508" s="1"/>
      <c r="G508" s="1"/>
      <c r="H508" s="1"/>
    </row>
    <row r="509" spans="1:8" ht="15.75" customHeight="1">
      <c r="A509" s="1"/>
      <c r="B509" s="1"/>
      <c r="C509" s="1"/>
      <c r="D509" s="1"/>
      <c r="E509" s="1"/>
      <c r="F509" s="1"/>
      <c r="G509" s="1"/>
      <c r="H509" s="1"/>
    </row>
    <row r="510" spans="1:8" ht="15.75" customHeight="1">
      <c r="A510" s="1"/>
      <c r="B510" s="1"/>
      <c r="C510" s="1"/>
      <c r="D510" s="1"/>
      <c r="E510" s="1"/>
      <c r="F510" s="1"/>
      <c r="G510" s="1"/>
      <c r="H510" s="1"/>
    </row>
    <row r="511" spans="1:8" ht="15.75" customHeight="1">
      <c r="A511" s="1"/>
      <c r="B511" s="1"/>
      <c r="C511" s="1"/>
      <c r="D511" s="1"/>
      <c r="E511" s="1"/>
      <c r="F511" s="1"/>
      <c r="G511" s="1"/>
      <c r="H511" s="1"/>
    </row>
    <row r="512" spans="1:8" ht="15.75" customHeight="1">
      <c r="A512" s="1"/>
      <c r="B512" s="1"/>
      <c r="C512" s="1"/>
      <c r="D512" s="1"/>
      <c r="E512" s="1"/>
      <c r="F512" s="1"/>
      <c r="G512" s="1"/>
      <c r="H512" s="1"/>
    </row>
    <row r="513" spans="1:8" ht="15.75" customHeight="1">
      <c r="A513" s="1"/>
      <c r="B513" s="1"/>
      <c r="C513" s="1"/>
      <c r="D513" s="1"/>
      <c r="E513" s="1"/>
      <c r="F513" s="1"/>
      <c r="G513" s="1"/>
      <c r="H513" s="1"/>
    </row>
    <row r="514" spans="1:8" ht="15.75" customHeight="1">
      <c r="A514" s="1"/>
      <c r="B514" s="1"/>
      <c r="C514" s="1"/>
      <c r="D514" s="1"/>
      <c r="E514" s="1"/>
      <c r="F514" s="1"/>
      <c r="G514" s="1"/>
      <c r="H514" s="1"/>
    </row>
    <row r="515" spans="1:8" ht="15.75" customHeight="1">
      <c r="A515" s="1"/>
      <c r="B515" s="1"/>
      <c r="C515" s="1"/>
      <c r="D515" s="1"/>
      <c r="E515" s="1"/>
      <c r="F515" s="1"/>
      <c r="G515" s="1"/>
      <c r="H515" s="1"/>
    </row>
    <row r="516" spans="1:8" ht="15.75" customHeight="1">
      <c r="A516" s="1"/>
      <c r="B516" s="1"/>
      <c r="C516" s="1"/>
      <c r="D516" s="1"/>
      <c r="E516" s="1"/>
      <c r="F516" s="1"/>
      <c r="G516" s="1"/>
      <c r="H516" s="1"/>
    </row>
    <row r="517" spans="1:8" ht="15.75" customHeight="1">
      <c r="A517" s="1"/>
      <c r="B517" s="1"/>
      <c r="C517" s="1"/>
      <c r="D517" s="1"/>
      <c r="E517" s="1"/>
      <c r="F517" s="1"/>
      <c r="G517" s="1"/>
      <c r="H517" s="1"/>
    </row>
    <row r="518" spans="1:8" ht="15.75" customHeight="1">
      <c r="A518" s="1"/>
      <c r="B518" s="1"/>
      <c r="C518" s="1"/>
      <c r="D518" s="1"/>
      <c r="E518" s="1"/>
      <c r="F518" s="1"/>
      <c r="G518" s="1"/>
      <c r="H518" s="1"/>
    </row>
    <row r="519" spans="1:8" ht="15.75" customHeight="1">
      <c r="A519" s="1"/>
      <c r="B519" s="1"/>
      <c r="C519" s="1"/>
      <c r="D519" s="1"/>
      <c r="E519" s="1"/>
      <c r="F519" s="1"/>
      <c r="G519" s="1"/>
      <c r="H519" s="1"/>
    </row>
    <row r="520" spans="1:8" ht="15.75" customHeight="1">
      <c r="A520" s="1"/>
      <c r="B520" s="1"/>
      <c r="C520" s="1"/>
      <c r="D520" s="1"/>
      <c r="E520" s="1"/>
      <c r="F520" s="1"/>
      <c r="G520" s="1"/>
      <c r="H520" s="1"/>
    </row>
    <row r="521" spans="1:8" ht="15.75" customHeight="1">
      <c r="A521" s="1"/>
      <c r="B521" s="1"/>
      <c r="C521" s="1"/>
      <c r="D521" s="1"/>
      <c r="E521" s="1"/>
      <c r="F521" s="1"/>
      <c r="G521" s="1"/>
      <c r="H521" s="1"/>
    </row>
    <row r="522" spans="1:8" ht="15.75" customHeight="1">
      <c r="A522" s="1"/>
      <c r="B522" s="1"/>
      <c r="C522" s="1"/>
      <c r="D522" s="1"/>
      <c r="E522" s="1"/>
      <c r="F522" s="1"/>
      <c r="G522" s="1"/>
      <c r="H522" s="1"/>
    </row>
    <row r="523" spans="1:8" ht="15.75" customHeight="1">
      <c r="A523" s="1"/>
      <c r="B523" s="1"/>
      <c r="C523" s="1"/>
      <c r="D523" s="1"/>
      <c r="E523" s="1"/>
      <c r="F523" s="1"/>
      <c r="G523" s="1"/>
      <c r="H523" s="1"/>
    </row>
    <row r="524" spans="1:8" ht="15.75" customHeight="1">
      <c r="A524" s="1"/>
      <c r="B524" s="1"/>
      <c r="C524" s="1"/>
      <c r="D524" s="1"/>
      <c r="E524" s="1"/>
      <c r="F524" s="1"/>
      <c r="G524" s="1"/>
      <c r="H524" s="1"/>
    </row>
    <row r="525" spans="1:8" ht="15.75" customHeight="1">
      <c r="A525" s="1"/>
      <c r="B525" s="1"/>
      <c r="C525" s="1"/>
      <c r="D525" s="1"/>
      <c r="E525" s="1"/>
      <c r="F525" s="1"/>
      <c r="G525" s="1"/>
      <c r="H525" s="1"/>
    </row>
    <row r="526" spans="1:8" ht="15.75" customHeight="1">
      <c r="A526" s="1"/>
      <c r="B526" s="1"/>
      <c r="C526" s="1"/>
      <c r="D526" s="1"/>
      <c r="E526" s="1"/>
      <c r="F526" s="1"/>
      <c r="G526" s="1"/>
      <c r="H526" s="1"/>
    </row>
    <row r="527" spans="1:8" ht="15.75" customHeight="1">
      <c r="A527" s="1"/>
      <c r="B527" s="1"/>
      <c r="C527" s="1"/>
      <c r="D527" s="1"/>
      <c r="E527" s="1"/>
      <c r="F527" s="1"/>
      <c r="G527" s="1"/>
      <c r="H527" s="1"/>
    </row>
    <row r="528" spans="1:8" ht="15.75" customHeight="1">
      <c r="A528" s="1"/>
      <c r="B528" s="1"/>
      <c r="C528" s="1"/>
      <c r="D528" s="1"/>
      <c r="E528" s="1"/>
      <c r="F528" s="1"/>
      <c r="G528" s="1"/>
      <c r="H528" s="1"/>
    </row>
    <row r="529" spans="1:8" ht="15.75" customHeight="1">
      <c r="A529" s="1"/>
      <c r="B529" s="1"/>
      <c r="C529" s="1"/>
      <c r="D529" s="1"/>
      <c r="E529" s="1"/>
      <c r="F529" s="1"/>
      <c r="G529" s="1"/>
      <c r="H529" s="1"/>
    </row>
    <row r="530" spans="1:8" ht="15.75" customHeight="1">
      <c r="A530" s="1"/>
      <c r="B530" s="1"/>
      <c r="C530" s="1"/>
      <c r="D530" s="1"/>
      <c r="E530" s="1"/>
      <c r="F530" s="1"/>
      <c r="G530" s="1"/>
      <c r="H530" s="1"/>
    </row>
    <row r="531" spans="1:8" ht="15.75" customHeight="1">
      <c r="A531" s="1"/>
      <c r="B531" s="1"/>
      <c r="C531" s="1"/>
      <c r="D531" s="1"/>
      <c r="E531" s="1"/>
      <c r="F531" s="1"/>
      <c r="G531" s="1"/>
      <c r="H531" s="1"/>
    </row>
    <row r="532" spans="1:8" ht="15.75" customHeight="1">
      <c r="A532" s="1"/>
      <c r="B532" s="1"/>
      <c r="C532" s="1"/>
      <c r="D532" s="1"/>
      <c r="E532" s="1"/>
      <c r="F532" s="1"/>
      <c r="G532" s="1"/>
      <c r="H532" s="1"/>
    </row>
    <row r="533" spans="1:8" ht="15.75" customHeight="1">
      <c r="A533" s="1"/>
      <c r="B533" s="1"/>
      <c r="C533" s="1"/>
      <c r="D533" s="1"/>
      <c r="E533" s="1"/>
      <c r="F533" s="1"/>
      <c r="G533" s="1"/>
      <c r="H533" s="1"/>
    </row>
    <row r="534" spans="1:8" ht="15.75" customHeight="1">
      <c r="A534" s="1"/>
      <c r="B534" s="1"/>
      <c r="C534" s="1"/>
      <c r="D534" s="1"/>
      <c r="E534" s="1"/>
      <c r="F534" s="1"/>
      <c r="G534" s="1"/>
      <c r="H534" s="1"/>
    </row>
    <row r="535" spans="1:8" ht="15.75" customHeight="1">
      <c r="A535" s="1"/>
      <c r="B535" s="1"/>
      <c r="C535" s="1"/>
      <c r="D535" s="1"/>
      <c r="E535" s="1"/>
      <c r="F535" s="1"/>
      <c r="G535" s="1"/>
      <c r="H535" s="1"/>
    </row>
    <row r="536" spans="1:8" ht="15.75" customHeight="1">
      <c r="A536" s="1"/>
      <c r="B536" s="1"/>
      <c r="C536" s="1"/>
      <c r="D536" s="1"/>
      <c r="E536" s="1"/>
      <c r="F536" s="1"/>
      <c r="G536" s="1"/>
      <c r="H536" s="1"/>
    </row>
    <row r="537" spans="1:8" ht="15.75" customHeight="1">
      <c r="A537" s="1"/>
      <c r="B537" s="1"/>
      <c r="C537" s="1"/>
      <c r="D537" s="1"/>
      <c r="E537" s="1"/>
      <c r="F537" s="1"/>
      <c r="G537" s="1"/>
      <c r="H537" s="1"/>
    </row>
    <row r="538" spans="1:8" ht="15.75" customHeight="1">
      <c r="A538" s="1"/>
      <c r="B538" s="1"/>
      <c r="C538" s="1"/>
      <c r="D538" s="1"/>
      <c r="E538" s="1"/>
      <c r="F538" s="1"/>
      <c r="G538" s="1"/>
      <c r="H538" s="1"/>
    </row>
    <row r="539" spans="1:8" ht="15.75" customHeight="1">
      <c r="A539" s="1"/>
      <c r="B539" s="1"/>
      <c r="C539" s="1"/>
      <c r="D539" s="1"/>
      <c r="E539" s="1"/>
      <c r="F539" s="1"/>
      <c r="G539" s="1"/>
      <c r="H539" s="1"/>
    </row>
    <row r="540" spans="1:8" ht="15.75" customHeight="1">
      <c r="A540" s="1"/>
      <c r="B540" s="1"/>
      <c r="C540" s="1"/>
      <c r="D540" s="1"/>
      <c r="E540" s="1"/>
      <c r="F540" s="1"/>
      <c r="G540" s="1"/>
      <c r="H540" s="1"/>
    </row>
    <row r="541" spans="1:8" ht="15.75" customHeight="1">
      <c r="A541" s="1"/>
      <c r="B541" s="1"/>
      <c r="C541" s="1"/>
      <c r="D541" s="1"/>
      <c r="E541" s="1"/>
      <c r="F541" s="1"/>
      <c r="G541" s="1"/>
      <c r="H541" s="1"/>
    </row>
    <row r="542" spans="1:8" ht="15.75" customHeight="1">
      <c r="A542" s="1"/>
      <c r="B542" s="1"/>
      <c r="C542" s="1"/>
      <c r="D542" s="1"/>
      <c r="E542" s="1"/>
      <c r="F542" s="1"/>
      <c r="G542" s="1"/>
      <c r="H542" s="1"/>
    </row>
    <row r="543" spans="1:8" ht="15.75" customHeight="1">
      <c r="A543" s="1"/>
      <c r="B543" s="1"/>
      <c r="C543" s="1"/>
      <c r="D543" s="1"/>
      <c r="E543" s="1"/>
      <c r="F543" s="1"/>
      <c r="G543" s="1"/>
      <c r="H543" s="1"/>
    </row>
    <row r="544" spans="1:8" ht="15.75" customHeight="1">
      <c r="A544" s="1"/>
      <c r="B544" s="1"/>
      <c r="C544" s="1"/>
      <c r="D544" s="1"/>
      <c r="E544" s="1"/>
      <c r="F544" s="1"/>
      <c r="G544" s="1"/>
      <c r="H544" s="1"/>
    </row>
    <row r="545" spans="1:8" ht="15.75" customHeight="1">
      <c r="A545" s="1"/>
      <c r="B545" s="1"/>
      <c r="C545" s="1"/>
      <c r="D545" s="1"/>
      <c r="E545" s="1"/>
      <c r="F545" s="1"/>
      <c r="G545" s="1"/>
      <c r="H545" s="1"/>
    </row>
    <row r="546" spans="1:8" ht="15.75" customHeight="1">
      <c r="A546" s="1"/>
      <c r="B546" s="1"/>
      <c r="C546" s="1"/>
      <c r="D546" s="1"/>
      <c r="E546" s="1"/>
      <c r="F546" s="1"/>
      <c r="G546" s="1"/>
      <c r="H546" s="1"/>
    </row>
    <row r="547" spans="1:8" ht="15.75" customHeight="1">
      <c r="A547" s="1"/>
      <c r="B547" s="1"/>
      <c r="C547" s="1"/>
      <c r="D547" s="1"/>
      <c r="E547" s="1"/>
      <c r="F547" s="1"/>
      <c r="G547" s="1"/>
      <c r="H547" s="1"/>
    </row>
    <row r="548" spans="1:8" ht="15.75" customHeight="1">
      <c r="A548" s="1"/>
      <c r="B548" s="1"/>
      <c r="C548" s="1"/>
      <c r="D548" s="1"/>
      <c r="E548" s="1"/>
      <c r="F548" s="1"/>
      <c r="G548" s="1"/>
      <c r="H548" s="1"/>
    </row>
    <row r="549" spans="1:8" ht="15.75" customHeight="1">
      <c r="A549" s="1"/>
      <c r="B549" s="1"/>
      <c r="C549" s="1"/>
      <c r="D549" s="1"/>
      <c r="E549" s="1"/>
      <c r="F549" s="1"/>
      <c r="G549" s="1"/>
      <c r="H549" s="1"/>
    </row>
    <row r="550" spans="1:8" ht="15.75" customHeight="1">
      <c r="A550" s="1"/>
      <c r="B550" s="1"/>
      <c r="C550" s="1"/>
      <c r="D550" s="1"/>
      <c r="E550" s="1"/>
      <c r="F550" s="1"/>
      <c r="G550" s="1"/>
      <c r="H550" s="1"/>
    </row>
    <row r="551" spans="1:8" ht="15.75" customHeight="1">
      <c r="A551" s="1"/>
      <c r="B551" s="1"/>
      <c r="C551" s="1"/>
      <c r="D551" s="1"/>
      <c r="E551" s="1"/>
      <c r="F551" s="1"/>
      <c r="G551" s="1"/>
      <c r="H551" s="1"/>
    </row>
    <row r="552" spans="1:8" ht="15.75" customHeight="1">
      <c r="A552" s="1"/>
      <c r="B552" s="1"/>
      <c r="C552" s="1"/>
      <c r="D552" s="1"/>
      <c r="E552" s="1"/>
      <c r="F552" s="1"/>
      <c r="G552" s="1"/>
      <c r="H552" s="1"/>
    </row>
    <row r="553" spans="1:8" ht="15.75" customHeight="1">
      <c r="A553" s="1"/>
      <c r="B553" s="1"/>
      <c r="C553" s="1"/>
      <c r="D553" s="1"/>
      <c r="E553" s="1"/>
      <c r="F553" s="1"/>
      <c r="G553" s="1"/>
      <c r="H553" s="1"/>
    </row>
    <row r="554" spans="1:8" ht="15.75" customHeight="1">
      <c r="A554" s="1"/>
      <c r="B554" s="1"/>
      <c r="C554" s="1"/>
      <c r="D554" s="1"/>
      <c r="E554" s="1"/>
      <c r="F554" s="1"/>
      <c r="G554" s="1"/>
      <c r="H554" s="1"/>
    </row>
    <row r="555" spans="1:8" ht="15.75" customHeight="1">
      <c r="A555" s="1"/>
      <c r="B555" s="1"/>
      <c r="C555" s="1"/>
      <c r="D555" s="1"/>
      <c r="E555" s="1"/>
      <c r="F555" s="1"/>
      <c r="G555" s="1"/>
      <c r="H555" s="1"/>
    </row>
    <row r="556" spans="1:8" ht="15.75" customHeight="1">
      <c r="A556" s="1"/>
      <c r="B556" s="1"/>
      <c r="C556" s="1"/>
      <c r="D556" s="1"/>
      <c r="E556" s="1"/>
      <c r="F556" s="1"/>
      <c r="G556" s="1"/>
      <c r="H556" s="1"/>
    </row>
    <row r="557" spans="1:8" ht="15.75" customHeight="1">
      <c r="A557" s="1"/>
      <c r="B557" s="1"/>
      <c r="C557" s="1"/>
      <c r="D557" s="1"/>
      <c r="E557" s="1"/>
      <c r="F557" s="1"/>
      <c r="G557" s="1"/>
      <c r="H557" s="1"/>
    </row>
    <row r="558" spans="1:8" ht="15.75" customHeight="1">
      <c r="A558" s="1"/>
      <c r="B558" s="1"/>
      <c r="C558" s="1"/>
      <c r="D558" s="1"/>
      <c r="E558" s="1"/>
      <c r="F558" s="1"/>
      <c r="G558" s="1"/>
      <c r="H558" s="1"/>
    </row>
    <row r="559" spans="1:8" ht="15.75" customHeight="1">
      <c r="A559" s="1"/>
      <c r="B559" s="1"/>
      <c r="C559" s="1"/>
      <c r="D559" s="1"/>
      <c r="E559" s="1"/>
      <c r="F559" s="1"/>
      <c r="G559" s="1"/>
      <c r="H559" s="1"/>
    </row>
    <row r="560" spans="1:8" ht="15.75" customHeight="1">
      <c r="A560" s="1"/>
      <c r="B560" s="1"/>
      <c r="C560" s="1"/>
      <c r="D560" s="1"/>
      <c r="E560" s="1"/>
      <c r="F560" s="1"/>
      <c r="G560" s="1"/>
      <c r="H560" s="1"/>
    </row>
    <row r="561" spans="1:8" ht="15.75" customHeight="1">
      <c r="A561" s="1"/>
      <c r="B561" s="1"/>
      <c r="C561" s="1"/>
      <c r="D561" s="1"/>
      <c r="E561" s="1"/>
      <c r="F561" s="1"/>
      <c r="G561" s="1"/>
      <c r="H561" s="1"/>
    </row>
    <row r="562" spans="1:8" ht="15.75" customHeight="1">
      <c r="A562" s="1"/>
      <c r="B562" s="1"/>
      <c r="C562" s="1"/>
      <c r="D562" s="1"/>
      <c r="E562" s="1"/>
      <c r="F562" s="1"/>
      <c r="G562" s="1"/>
      <c r="H562" s="1"/>
    </row>
    <row r="563" spans="1:8" ht="15.75" customHeight="1">
      <c r="A563" s="1"/>
      <c r="B563" s="1"/>
      <c r="C563" s="1"/>
      <c r="D563" s="1"/>
      <c r="E563" s="1"/>
      <c r="F563" s="1"/>
      <c r="G563" s="1"/>
      <c r="H563" s="1"/>
    </row>
    <row r="564" spans="1:8" ht="15.75" customHeight="1">
      <c r="A564" s="1"/>
      <c r="B564" s="1"/>
      <c r="C564" s="1"/>
      <c r="D564" s="1"/>
      <c r="E564" s="1"/>
      <c r="F564" s="1"/>
      <c r="G564" s="1"/>
      <c r="H564" s="1"/>
    </row>
    <row r="565" spans="1:8" ht="15.75" customHeight="1">
      <c r="A565" s="1"/>
      <c r="B565" s="1"/>
      <c r="C565" s="1"/>
      <c r="D565" s="1"/>
      <c r="E565" s="1"/>
      <c r="F565" s="1"/>
      <c r="G565" s="1"/>
      <c r="H565" s="1"/>
    </row>
    <row r="566" spans="1:8" ht="15.75" customHeight="1">
      <c r="A566" s="1"/>
      <c r="B566" s="1"/>
      <c r="C566" s="1"/>
      <c r="D566" s="1"/>
      <c r="E566" s="1"/>
      <c r="F566" s="1"/>
      <c r="G566" s="1"/>
      <c r="H566" s="1"/>
    </row>
    <row r="567" spans="1:8" ht="15.75" customHeight="1">
      <c r="A567" s="1"/>
      <c r="B567" s="1"/>
      <c r="C567" s="1"/>
      <c r="D567" s="1"/>
      <c r="E567" s="1"/>
      <c r="F567" s="1"/>
      <c r="G567" s="1"/>
      <c r="H567" s="1"/>
    </row>
    <row r="568" spans="1:8" ht="15.75" customHeight="1">
      <c r="A568" s="1"/>
      <c r="B568" s="1"/>
      <c r="C568" s="1"/>
      <c r="D568" s="1"/>
      <c r="E568" s="1"/>
      <c r="F568" s="1"/>
      <c r="G568" s="1"/>
      <c r="H568" s="1"/>
    </row>
    <row r="569" spans="1:8" ht="15.75" customHeight="1">
      <c r="A569" s="1"/>
      <c r="B569" s="1"/>
      <c r="C569" s="1"/>
      <c r="D569" s="1"/>
      <c r="E569" s="1"/>
      <c r="F569" s="1"/>
      <c r="G569" s="1"/>
      <c r="H569" s="1"/>
    </row>
    <row r="570" spans="1:8" ht="15.75" customHeight="1">
      <c r="A570" s="1"/>
      <c r="B570" s="1"/>
      <c r="C570" s="1"/>
      <c r="D570" s="1"/>
      <c r="E570" s="1"/>
      <c r="F570" s="1"/>
      <c r="G570" s="1"/>
      <c r="H570" s="1"/>
    </row>
    <row r="571" spans="1:8" ht="15.75" customHeight="1">
      <c r="A571" s="1"/>
      <c r="B571" s="1"/>
      <c r="C571" s="1"/>
      <c r="D571" s="1"/>
      <c r="E571" s="1"/>
      <c r="F571" s="1"/>
      <c r="G571" s="1"/>
      <c r="H571" s="1"/>
    </row>
    <row r="572" spans="1:8" ht="15.75" customHeight="1">
      <c r="A572" s="1"/>
      <c r="B572" s="1"/>
      <c r="C572" s="1"/>
      <c r="D572" s="1"/>
      <c r="E572" s="1"/>
      <c r="F572" s="1"/>
      <c r="G572" s="1"/>
      <c r="H572" s="1"/>
    </row>
    <row r="573" spans="1:8" ht="15.75" customHeight="1">
      <c r="A573" s="1"/>
      <c r="B573" s="1"/>
      <c r="C573" s="1"/>
      <c r="D573" s="1"/>
      <c r="E573" s="1"/>
      <c r="F573" s="1"/>
      <c r="G573" s="1"/>
      <c r="H573" s="1"/>
    </row>
    <row r="574" spans="1:8" ht="15.75" customHeight="1">
      <c r="A574" s="1"/>
      <c r="B574" s="1"/>
      <c r="C574" s="1"/>
      <c r="D574" s="1"/>
      <c r="E574" s="1"/>
      <c r="F574" s="1"/>
      <c r="G574" s="1"/>
      <c r="H574" s="1"/>
    </row>
    <row r="575" spans="1:8" ht="15.75" customHeight="1">
      <c r="A575" s="1"/>
      <c r="B575" s="1"/>
      <c r="C575" s="1"/>
      <c r="D575" s="1"/>
      <c r="E575" s="1"/>
      <c r="F575" s="1"/>
      <c r="G575" s="1"/>
      <c r="H575" s="1"/>
    </row>
    <row r="576" spans="1:8" ht="15.75" customHeight="1">
      <c r="A576" s="1"/>
      <c r="B576" s="1"/>
      <c r="C576" s="1"/>
      <c r="D576" s="1"/>
      <c r="E576" s="1"/>
      <c r="F576" s="1"/>
      <c r="G576" s="1"/>
      <c r="H576" s="1"/>
    </row>
    <row r="577" spans="1:8" ht="15.75" customHeight="1">
      <c r="A577" s="1"/>
      <c r="B577" s="1"/>
      <c r="C577" s="1"/>
      <c r="D577" s="1"/>
      <c r="E577" s="1"/>
      <c r="F577" s="1"/>
      <c r="G577" s="1"/>
      <c r="H577" s="1"/>
    </row>
    <row r="578" spans="1:8" ht="15.75" customHeight="1">
      <c r="A578" s="1"/>
      <c r="B578" s="1"/>
      <c r="C578" s="1"/>
      <c r="D578" s="1"/>
      <c r="E578" s="1"/>
      <c r="F578" s="1"/>
      <c r="G578" s="1"/>
      <c r="H578" s="1"/>
    </row>
    <row r="579" spans="1:8" ht="15.75" customHeight="1">
      <c r="A579" s="1"/>
      <c r="B579" s="1"/>
      <c r="C579" s="1"/>
      <c r="D579" s="1"/>
      <c r="E579" s="1"/>
      <c r="F579" s="1"/>
      <c r="G579" s="1"/>
      <c r="H579" s="1"/>
    </row>
    <row r="580" spans="1:8" ht="15.75" customHeight="1">
      <c r="A580" s="1"/>
      <c r="B580" s="1"/>
      <c r="C580" s="1"/>
      <c r="D580" s="1"/>
      <c r="E580" s="1"/>
      <c r="F580" s="1"/>
      <c r="G580" s="1"/>
      <c r="H580" s="1"/>
    </row>
    <row r="581" spans="1:8" ht="15.75" customHeight="1">
      <c r="A581" s="1"/>
      <c r="B581" s="1"/>
      <c r="C581" s="1"/>
      <c r="D581" s="1"/>
      <c r="E581" s="1"/>
      <c r="F581" s="1"/>
      <c r="G581" s="1"/>
      <c r="H581" s="1"/>
    </row>
    <row r="582" spans="1:8" ht="15.75" customHeight="1">
      <c r="A582" s="1"/>
      <c r="B582" s="1"/>
      <c r="C582" s="1"/>
      <c r="D582" s="1"/>
      <c r="E582" s="1"/>
      <c r="F582" s="1"/>
      <c r="G582" s="1"/>
      <c r="H582" s="1"/>
    </row>
    <row r="583" spans="1:8" ht="15.75" customHeight="1">
      <c r="A583" s="1"/>
      <c r="B583" s="1"/>
      <c r="C583" s="1"/>
      <c r="D583" s="1"/>
      <c r="E583" s="1"/>
      <c r="F583" s="1"/>
      <c r="G583" s="1"/>
      <c r="H583" s="1"/>
    </row>
    <row r="584" spans="1:8" ht="15.75" customHeight="1">
      <c r="A584" s="1"/>
      <c r="B584" s="1"/>
      <c r="C584" s="1"/>
      <c r="D584" s="1"/>
      <c r="E584" s="1"/>
      <c r="F584" s="1"/>
      <c r="G584" s="1"/>
      <c r="H584" s="1"/>
    </row>
    <row r="585" spans="1:8" ht="15.75" customHeight="1">
      <c r="A585" s="1"/>
      <c r="B585" s="1"/>
      <c r="C585" s="1"/>
      <c r="D585" s="1"/>
      <c r="E585" s="1"/>
      <c r="F585" s="1"/>
      <c r="G585" s="1"/>
      <c r="H585" s="1"/>
    </row>
    <row r="586" spans="1:8" ht="15.75" customHeight="1">
      <c r="A586" s="1"/>
      <c r="B586" s="1"/>
      <c r="C586" s="1"/>
      <c r="D586" s="1"/>
      <c r="E586" s="1"/>
      <c r="F586" s="1"/>
      <c r="G586" s="1"/>
      <c r="H586" s="1"/>
    </row>
    <row r="587" spans="1:8" ht="15.75" customHeight="1">
      <c r="A587" s="1"/>
      <c r="B587" s="1"/>
      <c r="C587" s="1"/>
      <c r="D587" s="1"/>
      <c r="E587" s="1"/>
      <c r="F587" s="1"/>
      <c r="G587" s="1"/>
      <c r="H587" s="1"/>
    </row>
    <row r="588" spans="1:8" ht="15.75" customHeight="1">
      <c r="A588" s="1"/>
      <c r="B588" s="1"/>
      <c r="C588" s="1"/>
      <c r="D588" s="1"/>
      <c r="E588" s="1"/>
      <c r="F588" s="1"/>
      <c r="G588" s="1"/>
      <c r="H588" s="1"/>
    </row>
    <row r="589" spans="1:8" ht="15.75" customHeight="1">
      <c r="A589" s="1"/>
      <c r="B589" s="1"/>
      <c r="C589" s="1"/>
      <c r="D589" s="1"/>
      <c r="E589" s="1"/>
      <c r="F589" s="1"/>
      <c r="G589" s="1"/>
      <c r="H589" s="1"/>
    </row>
    <row r="590" spans="1:8" ht="15.75" customHeight="1">
      <c r="A590" s="1"/>
      <c r="B590" s="1"/>
      <c r="C590" s="1"/>
      <c r="D590" s="1"/>
      <c r="E590" s="1"/>
      <c r="F590" s="1"/>
      <c r="G590" s="1"/>
      <c r="H590" s="1"/>
    </row>
    <row r="591" spans="1:8" ht="15.75" customHeight="1">
      <c r="A591" s="1"/>
      <c r="B591" s="1"/>
      <c r="C591" s="1"/>
      <c r="D591" s="1"/>
      <c r="E591" s="1"/>
      <c r="F591" s="1"/>
      <c r="G591" s="1"/>
      <c r="H591" s="1"/>
    </row>
    <row r="592" spans="1:8" ht="15.75" customHeight="1">
      <c r="A592" s="1"/>
      <c r="B592" s="1"/>
      <c r="C592" s="1"/>
      <c r="D592" s="1"/>
      <c r="E592" s="1"/>
      <c r="F592" s="1"/>
      <c r="G592" s="1"/>
      <c r="H592" s="1"/>
    </row>
    <row r="593" spans="1:8" ht="15.75" customHeight="1">
      <c r="A593" s="1"/>
      <c r="B593" s="1"/>
      <c r="C593" s="1"/>
      <c r="D593" s="1"/>
      <c r="E593" s="1"/>
      <c r="F593" s="1"/>
      <c r="G593" s="1"/>
      <c r="H593" s="1"/>
    </row>
    <row r="594" spans="1:8" ht="15.75" customHeight="1">
      <c r="A594" s="1"/>
      <c r="B594" s="1"/>
      <c r="C594" s="1"/>
      <c r="D594" s="1"/>
      <c r="E594" s="1"/>
      <c r="F594" s="1"/>
      <c r="G594" s="1"/>
      <c r="H594" s="1"/>
    </row>
    <row r="595" spans="1:8" ht="15.75" customHeight="1">
      <c r="A595" s="1"/>
      <c r="B595" s="1"/>
      <c r="C595" s="1"/>
      <c r="D595" s="1"/>
      <c r="E595" s="1"/>
      <c r="F595" s="1"/>
      <c r="G595" s="1"/>
      <c r="H595" s="1"/>
    </row>
    <row r="596" spans="1:8" ht="15.75" customHeight="1">
      <c r="A596" s="1"/>
      <c r="B596" s="1"/>
      <c r="C596" s="1"/>
      <c r="D596" s="1"/>
      <c r="E596" s="1"/>
      <c r="F596" s="1"/>
      <c r="G596" s="1"/>
      <c r="H596" s="1"/>
    </row>
    <row r="597" spans="1:8" ht="15.75" customHeight="1">
      <c r="A597" s="1"/>
      <c r="B597" s="1"/>
      <c r="C597" s="1"/>
      <c r="D597" s="1"/>
      <c r="E597" s="1"/>
      <c r="F597" s="1"/>
      <c r="G597" s="1"/>
      <c r="H597" s="1"/>
    </row>
    <row r="598" spans="1:8" ht="15.75" customHeight="1">
      <c r="A598" s="1"/>
      <c r="B598" s="1"/>
      <c r="C598" s="1"/>
      <c r="D598" s="1"/>
      <c r="E598" s="1"/>
      <c r="F598" s="1"/>
      <c r="G598" s="1"/>
      <c r="H598" s="1"/>
    </row>
    <row r="599" spans="1:8" ht="15.75" customHeight="1">
      <c r="A599" s="1"/>
      <c r="B599" s="1"/>
      <c r="C599" s="1"/>
      <c r="D599" s="1"/>
      <c r="E599" s="1"/>
      <c r="F599" s="1"/>
      <c r="G599" s="1"/>
      <c r="H599" s="1"/>
    </row>
    <row r="600" spans="1:8" ht="15.75" customHeight="1">
      <c r="A600" s="1"/>
      <c r="B600" s="1"/>
      <c r="C600" s="1"/>
      <c r="D600" s="1"/>
      <c r="E600" s="1"/>
      <c r="F600" s="1"/>
      <c r="G600" s="1"/>
      <c r="H600" s="1"/>
    </row>
    <row r="601" spans="1:8" ht="15.75" customHeight="1">
      <c r="A601" s="1"/>
      <c r="B601" s="1"/>
      <c r="C601" s="1"/>
      <c r="D601" s="1"/>
      <c r="E601" s="1"/>
      <c r="F601" s="1"/>
      <c r="G601" s="1"/>
      <c r="H601" s="1"/>
    </row>
    <row r="602" spans="1:8" ht="15.75" customHeight="1">
      <c r="A602" s="1"/>
      <c r="B602" s="1"/>
      <c r="C602" s="1"/>
      <c r="D602" s="1"/>
      <c r="E602" s="1"/>
      <c r="F602" s="1"/>
      <c r="G602" s="1"/>
      <c r="H602" s="1"/>
    </row>
    <row r="603" spans="1:8" ht="15.75" customHeight="1">
      <c r="A603" s="1"/>
      <c r="B603" s="1"/>
      <c r="C603" s="1"/>
      <c r="D603" s="1"/>
      <c r="E603" s="1"/>
      <c r="F603" s="1"/>
      <c r="G603" s="1"/>
      <c r="H603" s="1"/>
    </row>
    <row r="604" spans="1:8" ht="15.75" customHeight="1">
      <c r="A604" s="1"/>
      <c r="B604" s="1"/>
      <c r="C604" s="1"/>
      <c r="D604" s="1"/>
      <c r="E604" s="1"/>
      <c r="F604" s="1"/>
      <c r="G604" s="1"/>
      <c r="H604" s="1"/>
    </row>
    <row r="605" spans="1:8" ht="15.75" customHeight="1">
      <c r="A605" s="1"/>
      <c r="B605" s="1"/>
      <c r="C605" s="1"/>
      <c r="D605" s="1"/>
      <c r="E605" s="1"/>
      <c r="F605" s="1"/>
      <c r="G605" s="1"/>
      <c r="H605" s="1"/>
    </row>
    <row r="606" spans="1:8" ht="15.75" customHeight="1">
      <c r="A606" s="1"/>
      <c r="B606" s="1"/>
      <c r="C606" s="1"/>
      <c r="D606" s="1"/>
      <c r="E606" s="1"/>
      <c r="F606" s="1"/>
      <c r="G606" s="1"/>
      <c r="H606" s="1"/>
    </row>
    <row r="607" spans="1:8" ht="15.75" customHeight="1">
      <c r="A607" s="1"/>
      <c r="B607" s="1"/>
      <c r="C607" s="1"/>
      <c r="D607" s="1"/>
      <c r="E607" s="1"/>
      <c r="F607" s="1"/>
      <c r="G607" s="1"/>
      <c r="H607" s="1"/>
    </row>
    <row r="608" spans="1:8" ht="15.75" customHeight="1">
      <c r="A608" s="1"/>
      <c r="B608" s="1"/>
      <c r="C608" s="1"/>
      <c r="D608" s="1"/>
      <c r="E608" s="1"/>
      <c r="F608" s="1"/>
      <c r="G608" s="1"/>
      <c r="H608" s="1"/>
    </row>
    <row r="609" spans="1:8" ht="15.75" customHeight="1">
      <c r="A609" s="1"/>
      <c r="B609" s="1"/>
      <c r="C609" s="1"/>
      <c r="D609" s="1"/>
      <c r="E609" s="1"/>
      <c r="F609" s="1"/>
      <c r="G609" s="1"/>
      <c r="H609" s="1"/>
    </row>
    <row r="610" spans="1:8" ht="15.75" customHeight="1">
      <c r="A610" s="1"/>
      <c r="B610" s="1"/>
      <c r="C610" s="1"/>
      <c r="D610" s="1"/>
      <c r="E610" s="1"/>
      <c r="F610" s="1"/>
      <c r="G610" s="1"/>
      <c r="H610" s="1"/>
    </row>
    <row r="611" spans="1:8" ht="15.75" customHeight="1">
      <c r="A611" s="1"/>
      <c r="B611" s="1"/>
      <c r="C611" s="1"/>
      <c r="D611" s="1"/>
      <c r="E611" s="1"/>
      <c r="F611" s="1"/>
      <c r="G611" s="1"/>
      <c r="H611" s="1"/>
    </row>
    <row r="612" spans="1:8" ht="15.75" customHeight="1">
      <c r="A612" s="1"/>
      <c r="B612" s="1"/>
      <c r="C612" s="1"/>
      <c r="D612" s="1"/>
      <c r="E612" s="1"/>
      <c r="F612" s="1"/>
      <c r="G612" s="1"/>
      <c r="H612" s="1"/>
    </row>
    <row r="613" spans="1:8" ht="15.75" customHeight="1">
      <c r="A613" s="1"/>
      <c r="B613" s="1"/>
      <c r="C613" s="1"/>
      <c r="D613" s="1"/>
      <c r="E613" s="1"/>
      <c r="F613" s="1"/>
      <c r="G613" s="1"/>
      <c r="H613" s="1"/>
    </row>
    <row r="614" spans="1:8" ht="15.75" customHeight="1">
      <c r="A614" s="1"/>
      <c r="B614" s="1"/>
      <c r="C614" s="1"/>
      <c r="D614" s="1"/>
      <c r="E614" s="1"/>
      <c r="F614" s="1"/>
      <c r="G614" s="1"/>
      <c r="H614" s="1"/>
    </row>
    <row r="615" spans="1:8" ht="15.75" customHeight="1">
      <c r="A615" s="1"/>
      <c r="B615" s="1"/>
      <c r="C615" s="1"/>
      <c r="D615" s="1"/>
      <c r="E615" s="1"/>
      <c r="F615" s="1"/>
      <c r="G615" s="1"/>
      <c r="H615" s="1"/>
    </row>
    <row r="616" spans="1:8" ht="15.75" customHeight="1">
      <c r="A616" s="1"/>
      <c r="B616" s="1"/>
      <c r="C616" s="1"/>
      <c r="D616" s="1"/>
      <c r="E616" s="1"/>
      <c r="F616" s="1"/>
      <c r="G616" s="1"/>
      <c r="H616" s="1"/>
    </row>
    <row r="617" spans="1:8" ht="15.75" customHeight="1">
      <c r="A617" s="1"/>
      <c r="B617" s="1"/>
      <c r="C617" s="1"/>
      <c r="D617" s="1"/>
      <c r="E617" s="1"/>
      <c r="F617" s="1"/>
      <c r="G617" s="1"/>
      <c r="H617" s="1"/>
    </row>
    <row r="618" spans="1:8" ht="15.75" customHeight="1">
      <c r="A618" s="1"/>
      <c r="B618" s="1"/>
      <c r="C618" s="1"/>
      <c r="D618" s="1"/>
      <c r="E618" s="1"/>
      <c r="F618" s="1"/>
      <c r="G618" s="1"/>
      <c r="H618" s="1"/>
    </row>
    <row r="619" spans="1:8" ht="15.75" customHeight="1">
      <c r="A619" s="1"/>
      <c r="B619" s="1"/>
      <c r="C619" s="1"/>
      <c r="D619" s="1"/>
      <c r="E619" s="1"/>
      <c r="F619" s="1"/>
      <c r="G619" s="1"/>
      <c r="H619" s="1"/>
    </row>
    <row r="620" spans="1:8" ht="15.75" customHeight="1">
      <c r="A620" s="1"/>
      <c r="B620" s="1"/>
      <c r="C620" s="1"/>
      <c r="D620" s="1"/>
      <c r="E620" s="1"/>
      <c r="F620" s="1"/>
      <c r="G620" s="1"/>
      <c r="H620" s="1"/>
    </row>
    <row r="621" spans="1:8" ht="15.75" customHeight="1">
      <c r="A621" s="1"/>
      <c r="B621" s="1"/>
      <c r="C621" s="1"/>
      <c r="D621" s="1"/>
      <c r="E621" s="1"/>
      <c r="F621" s="1"/>
      <c r="G621" s="1"/>
      <c r="H621" s="1"/>
    </row>
    <row r="622" spans="1:8" ht="15.75" customHeight="1">
      <c r="A622" s="1"/>
      <c r="B622" s="1"/>
      <c r="C622" s="1"/>
      <c r="D622" s="1"/>
      <c r="E622" s="1"/>
      <c r="F622" s="1"/>
      <c r="G622" s="1"/>
      <c r="H622" s="1"/>
    </row>
    <row r="623" spans="1:8" ht="15.75" customHeight="1">
      <c r="A623" s="1"/>
      <c r="B623" s="1"/>
      <c r="C623" s="1"/>
      <c r="D623" s="1"/>
      <c r="E623" s="1"/>
      <c r="F623" s="1"/>
      <c r="G623" s="1"/>
      <c r="H623" s="1"/>
    </row>
    <row r="624" spans="1:8" ht="15.75" customHeight="1">
      <c r="A624" s="1"/>
      <c r="B624" s="1"/>
      <c r="C624" s="1"/>
      <c r="D624" s="1"/>
      <c r="E624" s="1"/>
      <c r="F624" s="1"/>
      <c r="G624" s="1"/>
      <c r="H624" s="1"/>
    </row>
    <row r="625" spans="1:8" ht="15.75" customHeight="1">
      <c r="A625" s="1"/>
      <c r="B625" s="1"/>
      <c r="C625" s="1"/>
      <c r="D625" s="1"/>
      <c r="E625" s="1"/>
      <c r="F625" s="1"/>
      <c r="G625" s="1"/>
      <c r="H625" s="1"/>
    </row>
    <row r="626" spans="1:8" ht="15.75" customHeight="1">
      <c r="A626" s="1"/>
      <c r="B626" s="1"/>
      <c r="C626" s="1"/>
      <c r="D626" s="1"/>
      <c r="E626" s="1"/>
      <c r="F626" s="1"/>
      <c r="G626" s="1"/>
      <c r="H626" s="1"/>
    </row>
    <row r="627" spans="1:8" ht="15.75" customHeight="1">
      <c r="A627" s="1"/>
      <c r="B627" s="1"/>
      <c r="C627" s="1"/>
      <c r="D627" s="1"/>
      <c r="E627" s="1"/>
      <c r="F627" s="1"/>
      <c r="G627" s="1"/>
      <c r="H627" s="1"/>
    </row>
    <row r="628" spans="1:8" ht="15.75" customHeight="1">
      <c r="A628" s="1"/>
      <c r="B628" s="1"/>
      <c r="C628" s="1"/>
      <c r="D628" s="1"/>
      <c r="E628" s="1"/>
      <c r="F628" s="1"/>
      <c r="G628" s="1"/>
      <c r="H628" s="1"/>
    </row>
    <row r="629" spans="1:8" ht="15.75" customHeight="1">
      <c r="A629" s="1"/>
      <c r="B629" s="1"/>
      <c r="C629" s="1"/>
      <c r="D629" s="1"/>
      <c r="E629" s="1"/>
      <c r="F629" s="1"/>
      <c r="G629" s="1"/>
      <c r="H629" s="1"/>
    </row>
    <row r="630" spans="1:8" ht="15.75" customHeight="1">
      <c r="A630" s="1"/>
      <c r="B630" s="1"/>
      <c r="C630" s="1"/>
      <c r="D630" s="1"/>
      <c r="E630" s="1"/>
      <c r="F630" s="1"/>
      <c r="G630" s="1"/>
      <c r="H630" s="1"/>
    </row>
    <row r="631" spans="1:8" ht="15.75" customHeight="1">
      <c r="A631" s="1"/>
      <c r="B631" s="1"/>
      <c r="C631" s="1"/>
      <c r="D631" s="1"/>
      <c r="E631" s="1"/>
      <c r="F631" s="1"/>
      <c r="G631" s="1"/>
      <c r="H631" s="1"/>
    </row>
    <row r="632" spans="1:8" ht="15.75" customHeight="1">
      <c r="A632" s="1"/>
      <c r="B632" s="1"/>
      <c r="C632" s="1"/>
      <c r="D632" s="1"/>
      <c r="E632" s="1"/>
      <c r="F632" s="1"/>
      <c r="G632" s="1"/>
      <c r="H632" s="1"/>
    </row>
    <row r="633" spans="1:8" ht="15.75" customHeight="1">
      <c r="A633" s="1"/>
      <c r="B633" s="1"/>
      <c r="C633" s="1"/>
      <c r="D633" s="1"/>
      <c r="E633" s="1"/>
      <c r="F633" s="1"/>
      <c r="G633" s="1"/>
      <c r="H633" s="1"/>
    </row>
    <row r="634" spans="1:8" ht="15.75" customHeight="1">
      <c r="A634" s="1"/>
      <c r="B634" s="1"/>
      <c r="C634" s="1"/>
      <c r="D634" s="1"/>
      <c r="E634" s="1"/>
      <c r="F634" s="1"/>
      <c r="G634" s="1"/>
      <c r="H634" s="1"/>
    </row>
    <row r="635" spans="1:8" ht="15.75" customHeight="1">
      <c r="A635" s="1"/>
      <c r="B635" s="1"/>
      <c r="C635" s="1"/>
      <c r="D635" s="1"/>
      <c r="E635" s="1"/>
      <c r="F635" s="1"/>
      <c r="G635" s="1"/>
      <c r="H635" s="1"/>
    </row>
    <row r="636" spans="1:8" ht="15.75" customHeight="1">
      <c r="A636" s="1"/>
      <c r="B636" s="1"/>
      <c r="C636" s="1"/>
      <c r="D636" s="1"/>
      <c r="E636" s="1"/>
      <c r="F636" s="1"/>
      <c r="G636" s="1"/>
      <c r="H636" s="1"/>
    </row>
    <row r="637" spans="1:8" ht="15.75" customHeight="1">
      <c r="A637" s="1"/>
      <c r="B637" s="1"/>
      <c r="C637" s="1"/>
      <c r="D637" s="1"/>
      <c r="E637" s="1"/>
      <c r="F637" s="1"/>
      <c r="G637" s="1"/>
      <c r="H637" s="1"/>
    </row>
    <row r="638" spans="1:8" ht="15.75" customHeight="1">
      <c r="A638" s="1"/>
      <c r="B638" s="1"/>
      <c r="C638" s="1"/>
      <c r="D638" s="1"/>
      <c r="E638" s="1"/>
      <c r="F638" s="1"/>
      <c r="G638" s="1"/>
      <c r="H638" s="1"/>
    </row>
    <row r="639" spans="1:8" ht="15.75" customHeight="1">
      <c r="A639" s="1"/>
      <c r="B639" s="1"/>
      <c r="C639" s="1"/>
      <c r="D639" s="1"/>
      <c r="E639" s="1"/>
      <c r="F639" s="1"/>
      <c r="G639" s="1"/>
      <c r="H639" s="1"/>
    </row>
    <row r="640" spans="1:8" ht="15.75" customHeight="1">
      <c r="A640" s="1"/>
      <c r="B640" s="1"/>
      <c r="C640" s="1"/>
      <c r="D640" s="1"/>
      <c r="E640" s="1"/>
      <c r="F640" s="1"/>
      <c r="G640" s="1"/>
      <c r="H640" s="1"/>
    </row>
    <row r="641" spans="1:8" ht="15.75" customHeight="1">
      <c r="A641" s="1"/>
      <c r="B641" s="1"/>
      <c r="C641" s="1"/>
      <c r="D641" s="1"/>
      <c r="E641" s="1"/>
      <c r="F641" s="1"/>
      <c r="G641" s="1"/>
      <c r="H641" s="1"/>
    </row>
    <row r="642" spans="1:8" ht="15.75" customHeight="1">
      <c r="A642" s="1"/>
      <c r="B642" s="1"/>
      <c r="C642" s="1"/>
      <c r="D642" s="1"/>
      <c r="E642" s="1"/>
      <c r="F642" s="1"/>
      <c r="G642" s="1"/>
      <c r="H642" s="1"/>
    </row>
    <row r="643" spans="1:8" ht="15.75" customHeight="1">
      <c r="A643" s="1"/>
      <c r="B643" s="1"/>
      <c r="C643" s="1"/>
      <c r="D643" s="1"/>
      <c r="E643" s="1"/>
      <c r="F643" s="1"/>
      <c r="G643" s="1"/>
      <c r="H643" s="1"/>
    </row>
    <row r="644" spans="1:8" ht="15.75" customHeight="1">
      <c r="A644" s="1"/>
      <c r="B644" s="1"/>
      <c r="C644" s="1"/>
      <c r="D644" s="1"/>
      <c r="E644" s="1"/>
      <c r="F644" s="1"/>
      <c r="G644" s="1"/>
      <c r="H644" s="1"/>
    </row>
    <row r="645" spans="1:8" ht="15.75" customHeight="1">
      <c r="A645" s="1"/>
      <c r="B645" s="1"/>
      <c r="C645" s="1"/>
      <c r="D645" s="1"/>
      <c r="E645" s="1"/>
      <c r="F645" s="1"/>
      <c r="G645" s="1"/>
      <c r="H645" s="1"/>
    </row>
    <row r="646" spans="1:8" ht="15.75" customHeight="1">
      <c r="A646" s="1"/>
      <c r="B646" s="1"/>
      <c r="C646" s="1"/>
      <c r="D646" s="1"/>
      <c r="E646" s="1"/>
      <c r="F646" s="1"/>
      <c r="G646" s="1"/>
      <c r="H646" s="1"/>
    </row>
    <row r="647" spans="1:8" ht="15.75" customHeight="1">
      <c r="A647" s="1"/>
      <c r="B647" s="1"/>
      <c r="C647" s="1"/>
      <c r="D647" s="1"/>
      <c r="E647" s="1"/>
      <c r="F647" s="1"/>
      <c r="G647" s="1"/>
      <c r="H647" s="1"/>
    </row>
    <row r="648" spans="1:8" ht="15.75" customHeight="1">
      <c r="A648" s="1"/>
      <c r="B648" s="1"/>
      <c r="C648" s="1"/>
      <c r="D648" s="1"/>
      <c r="E648" s="1"/>
      <c r="F648" s="1"/>
      <c r="G648" s="1"/>
      <c r="H648" s="1"/>
    </row>
    <row r="649" spans="1:8" ht="15.75" customHeight="1">
      <c r="A649" s="1"/>
      <c r="B649" s="1"/>
      <c r="C649" s="1"/>
      <c r="D649" s="1"/>
      <c r="E649" s="1"/>
      <c r="F649" s="1"/>
      <c r="G649" s="1"/>
      <c r="H649" s="1"/>
    </row>
    <row r="650" spans="1:8" ht="15.75" customHeight="1">
      <c r="A650" s="1"/>
      <c r="B650" s="1"/>
      <c r="C650" s="1"/>
      <c r="D650" s="1"/>
      <c r="E650" s="1"/>
      <c r="F650" s="1"/>
      <c r="G650" s="1"/>
      <c r="H650" s="1"/>
    </row>
    <row r="651" spans="1:8" ht="15.75" customHeight="1">
      <c r="A651" s="1"/>
      <c r="B651" s="1"/>
      <c r="C651" s="1"/>
      <c r="D651" s="1"/>
      <c r="E651" s="1"/>
      <c r="F651" s="1"/>
      <c r="G651" s="1"/>
      <c r="H651" s="1"/>
    </row>
    <row r="652" spans="1:8" ht="15.75" customHeight="1">
      <c r="A652" s="1"/>
      <c r="B652" s="1"/>
      <c r="C652" s="1"/>
      <c r="D652" s="1"/>
      <c r="E652" s="1"/>
      <c r="F652" s="1"/>
      <c r="G652" s="1"/>
      <c r="H652" s="1"/>
    </row>
    <row r="653" spans="1:8" ht="15.75" customHeight="1">
      <c r="A653" s="1"/>
      <c r="B653" s="1"/>
      <c r="C653" s="1"/>
      <c r="D653" s="1"/>
      <c r="E653" s="1"/>
      <c r="F653" s="1"/>
      <c r="G653" s="1"/>
      <c r="H653" s="1"/>
    </row>
    <row r="654" spans="1:8" ht="15.75" customHeight="1">
      <c r="A654" s="1"/>
      <c r="B654" s="1"/>
      <c r="C654" s="1"/>
      <c r="D654" s="1"/>
      <c r="E654" s="1"/>
      <c r="F654" s="1"/>
      <c r="G654" s="1"/>
      <c r="H654" s="1"/>
    </row>
    <row r="655" spans="1:8" ht="15.75" customHeight="1">
      <c r="A655" s="1"/>
      <c r="B655" s="1"/>
      <c r="C655" s="1"/>
      <c r="D655" s="1"/>
      <c r="E655" s="1"/>
      <c r="F655" s="1"/>
      <c r="G655" s="1"/>
      <c r="H655" s="1"/>
    </row>
    <row r="656" spans="1:8" ht="15.75" customHeight="1">
      <c r="A656" s="1"/>
      <c r="B656" s="1"/>
      <c r="C656" s="1"/>
      <c r="D656" s="1"/>
      <c r="E656" s="1"/>
      <c r="F656" s="1"/>
      <c r="G656" s="1"/>
      <c r="H656" s="1"/>
    </row>
    <row r="657" spans="1:8" ht="15.75" customHeight="1">
      <c r="A657" s="1"/>
      <c r="B657" s="1"/>
      <c r="C657" s="1"/>
      <c r="D657" s="1"/>
      <c r="E657" s="1"/>
      <c r="F657" s="1"/>
      <c r="G657" s="1"/>
      <c r="H657" s="1"/>
    </row>
    <row r="658" spans="1:8" ht="15.75" customHeight="1">
      <c r="A658" s="1"/>
      <c r="B658" s="1"/>
      <c r="C658" s="1"/>
      <c r="D658" s="1"/>
      <c r="E658" s="1"/>
      <c r="F658" s="1"/>
      <c r="G658" s="1"/>
      <c r="H658" s="1"/>
    </row>
    <row r="659" spans="1:8" ht="15.75" customHeight="1">
      <c r="A659" s="1"/>
      <c r="B659" s="1"/>
      <c r="C659" s="1"/>
      <c r="D659" s="1"/>
      <c r="E659" s="1"/>
      <c r="F659" s="1"/>
      <c r="G659" s="1"/>
      <c r="H659" s="1"/>
    </row>
    <row r="660" spans="1:8" ht="15.75" customHeight="1">
      <c r="A660" s="1"/>
      <c r="B660" s="1"/>
      <c r="C660" s="1"/>
      <c r="D660" s="1"/>
      <c r="E660" s="1"/>
      <c r="F660" s="1"/>
      <c r="G660" s="1"/>
      <c r="H660" s="1"/>
    </row>
    <row r="661" spans="1:8" ht="15.75" customHeight="1">
      <c r="A661" s="1"/>
      <c r="B661" s="1"/>
      <c r="C661" s="1"/>
      <c r="D661" s="1"/>
      <c r="E661" s="1"/>
      <c r="F661" s="1"/>
      <c r="G661" s="1"/>
      <c r="H661" s="1"/>
    </row>
    <row r="662" spans="1:8" ht="15.75" customHeight="1">
      <c r="A662" s="1"/>
      <c r="B662" s="1"/>
      <c r="C662" s="1"/>
      <c r="D662" s="1"/>
      <c r="E662" s="1"/>
      <c r="F662" s="1"/>
      <c r="G662" s="1"/>
      <c r="H662" s="1"/>
    </row>
    <row r="663" spans="1:8" ht="15.75" customHeight="1">
      <c r="A663" s="1"/>
      <c r="B663" s="1"/>
      <c r="C663" s="1"/>
      <c r="D663" s="1"/>
      <c r="E663" s="1"/>
      <c r="F663" s="1"/>
      <c r="G663" s="1"/>
      <c r="H663" s="1"/>
    </row>
    <row r="664" spans="1:8" ht="15.75" customHeight="1">
      <c r="A664" s="1"/>
      <c r="B664" s="1"/>
      <c r="C664" s="1"/>
      <c r="D664" s="1"/>
      <c r="E664" s="1"/>
      <c r="F664" s="1"/>
      <c r="G664" s="1"/>
      <c r="H664" s="1"/>
    </row>
    <row r="665" spans="1:8" ht="15.75" customHeight="1">
      <c r="A665" s="1"/>
      <c r="B665" s="1"/>
      <c r="C665" s="1"/>
      <c r="D665" s="1"/>
      <c r="E665" s="1"/>
      <c r="F665" s="1"/>
      <c r="G665" s="1"/>
      <c r="H665" s="1"/>
    </row>
    <row r="666" spans="1:8" ht="15.75" customHeight="1">
      <c r="A666" s="1"/>
      <c r="B666" s="1"/>
      <c r="C666" s="1"/>
      <c r="D666" s="1"/>
      <c r="E666" s="1"/>
      <c r="F666" s="1"/>
      <c r="G666" s="1"/>
      <c r="H666" s="1"/>
    </row>
    <row r="667" spans="1:8" ht="15.75" customHeight="1">
      <c r="A667" s="1"/>
      <c r="B667" s="1"/>
      <c r="C667" s="1"/>
      <c r="D667" s="1"/>
      <c r="E667" s="1"/>
      <c r="F667" s="1"/>
      <c r="G667" s="1"/>
      <c r="H667" s="1"/>
    </row>
    <row r="668" spans="1:8" ht="15.75" customHeight="1">
      <c r="A668" s="1"/>
      <c r="B668" s="1"/>
      <c r="C668" s="1"/>
      <c r="D668" s="1"/>
      <c r="E668" s="1"/>
      <c r="F668" s="1"/>
      <c r="G668" s="1"/>
      <c r="H668" s="1"/>
    </row>
    <row r="669" spans="1:8" ht="15.75" customHeight="1">
      <c r="A669" s="1"/>
      <c r="B669" s="1"/>
      <c r="C669" s="1"/>
      <c r="D669" s="1"/>
      <c r="E669" s="1"/>
      <c r="F669" s="1"/>
      <c r="G669" s="1"/>
      <c r="H669" s="1"/>
    </row>
    <row r="670" spans="1:8" ht="15.75" customHeight="1">
      <c r="A670" s="1"/>
      <c r="B670" s="1"/>
      <c r="C670" s="1"/>
      <c r="D670" s="1"/>
      <c r="E670" s="1"/>
      <c r="F670" s="1"/>
      <c r="G670" s="1"/>
      <c r="H670" s="1"/>
    </row>
    <row r="671" spans="1:8" ht="15.75" customHeight="1">
      <c r="A671" s="1"/>
      <c r="B671" s="1"/>
      <c r="C671" s="1"/>
      <c r="D671" s="1"/>
      <c r="E671" s="1"/>
      <c r="F671" s="1"/>
      <c r="G671" s="1"/>
      <c r="H671" s="1"/>
    </row>
    <row r="672" spans="1:8" ht="15.75" customHeight="1">
      <c r="A672" s="1"/>
      <c r="B672" s="1"/>
      <c r="C672" s="1"/>
      <c r="D672" s="1"/>
      <c r="E672" s="1"/>
      <c r="F672" s="1"/>
      <c r="G672" s="1"/>
      <c r="H672" s="1"/>
    </row>
    <row r="673" spans="1:8" ht="15.75" customHeight="1">
      <c r="A673" s="1"/>
      <c r="B673" s="1"/>
      <c r="C673" s="1"/>
      <c r="D673" s="1"/>
      <c r="E673" s="1"/>
      <c r="F673" s="1"/>
      <c r="G673" s="1"/>
      <c r="H673" s="1"/>
    </row>
    <row r="674" spans="1:8" ht="15.75" customHeight="1">
      <c r="A674" s="1"/>
      <c r="B674" s="1"/>
      <c r="C674" s="1"/>
      <c r="D674" s="1"/>
      <c r="E674" s="1"/>
      <c r="F674" s="1"/>
      <c r="G674" s="1"/>
      <c r="H674" s="1"/>
    </row>
    <row r="675" spans="1:8" ht="15.75" customHeight="1">
      <c r="A675" s="1"/>
      <c r="B675" s="1"/>
      <c r="C675" s="1"/>
      <c r="D675" s="1"/>
      <c r="E675" s="1"/>
      <c r="F675" s="1"/>
      <c r="G675" s="1"/>
      <c r="H675" s="1"/>
    </row>
    <row r="676" spans="1:8" ht="15.75" customHeight="1">
      <c r="A676" s="1"/>
      <c r="B676" s="1"/>
      <c r="C676" s="1"/>
      <c r="D676" s="1"/>
      <c r="E676" s="1"/>
      <c r="F676" s="1"/>
      <c r="G676" s="1"/>
      <c r="H676" s="1"/>
    </row>
    <row r="677" spans="1:8" ht="15.75" customHeight="1">
      <c r="A677" s="1"/>
      <c r="B677" s="1"/>
      <c r="C677" s="1"/>
      <c r="D677" s="1"/>
      <c r="E677" s="1"/>
      <c r="F677" s="1"/>
      <c r="G677" s="1"/>
      <c r="H677" s="1"/>
    </row>
    <row r="678" spans="1:8" ht="15.75" customHeight="1">
      <c r="A678" s="1"/>
      <c r="B678" s="1"/>
      <c r="C678" s="1"/>
      <c r="D678" s="1"/>
      <c r="E678" s="1"/>
      <c r="F678" s="1"/>
      <c r="G678" s="1"/>
      <c r="H678" s="1"/>
    </row>
    <row r="679" spans="1:8" ht="15.75" customHeight="1">
      <c r="A679" s="1"/>
      <c r="B679" s="1"/>
      <c r="C679" s="1"/>
      <c r="D679" s="1"/>
      <c r="E679" s="1"/>
      <c r="F679" s="1"/>
      <c r="G679" s="1"/>
      <c r="H679" s="1"/>
    </row>
    <row r="680" spans="1:8" ht="15.75" customHeight="1">
      <c r="A680" s="1"/>
      <c r="B680" s="1"/>
      <c r="C680" s="1"/>
      <c r="D680" s="1"/>
      <c r="E680" s="1"/>
      <c r="F680" s="1"/>
      <c r="G680" s="1"/>
      <c r="H680" s="1"/>
    </row>
    <row r="681" spans="1:8" ht="15.75" customHeight="1">
      <c r="A681" s="1"/>
      <c r="B681" s="1"/>
      <c r="C681" s="1"/>
      <c r="D681" s="1"/>
      <c r="E681" s="1"/>
      <c r="F681" s="1"/>
      <c r="G681" s="1"/>
      <c r="H681" s="1"/>
    </row>
    <row r="682" spans="1:8" ht="15.75" customHeight="1">
      <c r="A682" s="1"/>
      <c r="B682" s="1"/>
      <c r="C682" s="1"/>
      <c r="D682" s="1"/>
      <c r="E682" s="1"/>
      <c r="F682" s="1"/>
      <c r="G682" s="1"/>
      <c r="H682" s="1"/>
    </row>
    <row r="683" spans="1:8" ht="15.75" customHeight="1">
      <c r="A683" s="1"/>
      <c r="B683" s="1"/>
      <c r="C683" s="1"/>
      <c r="D683" s="1"/>
      <c r="E683" s="1"/>
      <c r="F683" s="1"/>
      <c r="G683" s="1"/>
      <c r="H683" s="1"/>
    </row>
    <row r="684" spans="1:8" ht="15.75" customHeight="1">
      <c r="A684" s="1"/>
      <c r="B684" s="1"/>
      <c r="C684" s="1"/>
      <c r="D684" s="1"/>
      <c r="E684" s="1"/>
      <c r="F684" s="1"/>
      <c r="G684" s="1"/>
      <c r="H684" s="1"/>
    </row>
    <row r="685" spans="1:8" ht="15.75" customHeight="1">
      <c r="A685" s="1"/>
      <c r="B685" s="1"/>
      <c r="C685" s="1"/>
      <c r="D685" s="1"/>
      <c r="E685" s="1"/>
      <c r="F685" s="1"/>
      <c r="G685" s="1"/>
      <c r="H685" s="1"/>
    </row>
    <row r="686" spans="1:8" ht="15.75" customHeight="1">
      <c r="A686" s="1"/>
      <c r="B686" s="1"/>
      <c r="C686" s="1"/>
      <c r="D686" s="1"/>
      <c r="E686" s="1"/>
      <c r="F686" s="1"/>
      <c r="G686" s="1"/>
      <c r="H686" s="1"/>
    </row>
    <row r="687" spans="1:8" ht="15.75" customHeight="1">
      <c r="A687" s="1"/>
      <c r="B687" s="1"/>
      <c r="C687" s="1"/>
      <c r="D687" s="1"/>
      <c r="E687" s="1"/>
      <c r="F687" s="1"/>
      <c r="G687" s="1"/>
      <c r="H687" s="1"/>
    </row>
    <row r="688" spans="1:8" ht="15.75" customHeight="1">
      <c r="A688" s="1"/>
      <c r="B688" s="1"/>
      <c r="C688" s="1"/>
      <c r="D688" s="1"/>
      <c r="E688" s="1"/>
      <c r="F688" s="1"/>
      <c r="G688" s="1"/>
      <c r="H688" s="1"/>
    </row>
    <row r="689" spans="1:8" ht="15.75" customHeight="1">
      <c r="A689" s="1"/>
      <c r="B689" s="1"/>
      <c r="C689" s="1"/>
      <c r="D689" s="1"/>
      <c r="E689" s="1"/>
      <c r="F689" s="1"/>
      <c r="G689" s="1"/>
      <c r="H689" s="1"/>
    </row>
    <row r="690" spans="1:8" ht="15.75" customHeight="1">
      <c r="A690" s="1"/>
      <c r="B690" s="1"/>
      <c r="C690" s="1"/>
      <c r="D690" s="1"/>
      <c r="E690" s="1"/>
      <c r="F690" s="1"/>
      <c r="G690" s="1"/>
      <c r="H690" s="1"/>
    </row>
    <row r="691" spans="1:8" ht="15.75" customHeight="1">
      <c r="A691" s="1"/>
      <c r="B691" s="1"/>
      <c r="C691" s="1"/>
      <c r="D691" s="1"/>
      <c r="E691" s="1"/>
      <c r="F691" s="1"/>
      <c r="G691" s="1"/>
      <c r="H691" s="1"/>
    </row>
    <row r="692" spans="1:8" ht="15.75" customHeight="1">
      <c r="A692" s="1"/>
      <c r="B692" s="1"/>
      <c r="C692" s="1"/>
      <c r="D692" s="1"/>
      <c r="E692" s="1"/>
      <c r="F692" s="1"/>
      <c r="G692" s="1"/>
      <c r="H692" s="1"/>
    </row>
    <row r="693" spans="1:8" ht="15.75" customHeight="1">
      <c r="A693" s="1"/>
      <c r="B693" s="1"/>
      <c r="C693" s="1"/>
      <c r="D693" s="1"/>
      <c r="E693" s="1"/>
      <c r="F693" s="1"/>
      <c r="G693" s="1"/>
      <c r="H693" s="1"/>
    </row>
    <row r="694" spans="1:8" ht="15.75" customHeight="1">
      <c r="A694" s="1"/>
      <c r="B694" s="1"/>
      <c r="C694" s="1"/>
      <c r="D694" s="1"/>
      <c r="E694" s="1"/>
      <c r="F694" s="1"/>
      <c r="G694" s="1"/>
      <c r="H694" s="1"/>
    </row>
    <row r="695" spans="1:8" ht="15.75" customHeight="1">
      <c r="A695" s="1"/>
      <c r="B695" s="1"/>
      <c r="C695" s="1"/>
      <c r="D695" s="1"/>
      <c r="E695" s="1"/>
      <c r="F695" s="1"/>
      <c r="G695" s="1"/>
      <c r="H695" s="1"/>
    </row>
    <row r="696" spans="1:8" ht="15.75" customHeight="1">
      <c r="A696" s="1"/>
      <c r="B696" s="1"/>
      <c r="C696" s="1"/>
      <c r="D696" s="1"/>
      <c r="E696" s="1"/>
      <c r="F696" s="1"/>
      <c r="G696" s="1"/>
      <c r="H696" s="1"/>
    </row>
    <row r="697" spans="1:8" ht="15.75" customHeight="1">
      <c r="A697" s="1"/>
      <c r="B697" s="1"/>
      <c r="C697" s="1"/>
      <c r="D697" s="1"/>
      <c r="E697" s="1"/>
      <c r="F697" s="1"/>
      <c r="G697" s="1"/>
      <c r="H697" s="1"/>
    </row>
    <row r="698" spans="1:8" ht="15.75" customHeight="1">
      <c r="A698" s="1"/>
      <c r="B698" s="1"/>
      <c r="C698" s="1"/>
      <c r="D698" s="1"/>
      <c r="E698" s="1"/>
      <c r="F698" s="1"/>
      <c r="G698" s="1"/>
      <c r="H698" s="1"/>
    </row>
    <row r="699" spans="1:8" ht="15.75" customHeight="1">
      <c r="A699" s="1"/>
      <c r="B699" s="1"/>
      <c r="C699" s="1"/>
      <c r="D699" s="1"/>
      <c r="E699" s="1"/>
      <c r="F699" s="1"/>
      <c r="G699" s="1"/>
      <c r="H699" s="1"/>
    </row>
    <row r="700" spans="1:8" ht="15.75" customHeight="1">
      <c r="A700" s="1"/>
      <c r="B700" s="1"/>
      <c r="C700" s="1"/>
      <c r="D700" s="1"/>
      <c r="E700" s="1"/>
      <c r="F700" s="1"/>
      <c r="G700" s="1"/>
      <c r="H700" s="1"/>
    </row>
    <row r="701" spans="1:8" ht="15.75" customHeight="1">
      <c r="A701" s="1"/>
      <c r="B701" s="1"/>
      <c r="C701" s="1"/>
      <c r="D701" s="1"/>
      <c r="E701" s="1"/>
      <c r="F701" s="1"/>
      <c r="G701" s="1"/>
      <c r="H701" s="1"/>
    </row>
    <row r="702" spans="1:8" ht="15.75" customHeight="1">
      <c r="A702" s="1"/>
      <c r="B702" s="1"/>
      <c r="C702" s="1"/>
      <c r="D702" s="1"/>
      <c r="E702" s="1"/>
      <c r="F702" s="1"/>
      <c r="G702" s="1"/>
      <c r="H702" s="1"/>
    </row>
    <row r="703" spans="1:8" ht="15.75" customHeight="1">
      <c r="A703" s="1"/>
      <c r="B703" s="1"/>
      <c r="C703" s="1"/>
      <c r="D703" s="1"/>
      <c r="E703" s="1"/>
      <c r="F703" s="1"/>
      <c r="G703" s="1"/>
      <c r="H703" s="1"/>
    </row>
    <row r="704" spans="1:8" ht="15.75" customHeight="1">
      <c r="A704" s="1"/>
      <c r="B704" s="1"/>
      <c r="C704" s="1"/>
      <c r="D704" s="1"/>
      <c r="E704" s="1"/>
      <c r="F704" s="1"/>
      <c r="G704" s="1"/>
      <c r="H704" s="1"/>
    </row>
    <row r="705" spans="1:8" ht="15.75" customHeight="1">
      <c r="A705" s="1"/>
      <c r="B705" s="1"/>
      <c r="C705" s="1"/>
      <c r="D705" s="1"/>
      <c r="E705" s="1"/>
      <c r="F705" s="1"/>
      <c r="G705" s="1"/>
      <c r="H705" s="1"/>
    </row>
    <row r="706" spans="1:8" ht="15.75" customHeight="1">
      <c r="A706" s="1"/>
      <c r="B706" s="1"/>
      <c r="C706" s="1"/>
      <c r="D706" s="1"/>
      <c r="E706" s="1"/>
      <c r="F706" s="1"/>
      <c r="G706" s="1"/>
      <c r="H706" s="1"/>
    </row>
    <row r="707" spans="1:8" ht="15.75" customHeight="1">
      <c r="A707" s="1"/>
      <c r="B707" s="1"/>
      <c r="C707" s="1"/>
      <c r="D707" s="1"/>
      <c r="E707" s="1"/>
      <c r="F707" s="1"/>
      <c r="G707" s="1"/>
      <c r="H707" s="1"/>
    </row>
    <row r="708" spans="1:8" ht="15.75" customHeight="1">
      <c r="A708" s="1"/>
      <c r="B708" s="1"/>
      <c r="C708" s="1"/>
      <c r="D708" s="1"/>
      <c r="E708" s="1"/>
      <c r="F708" s="1"/>
      <c r="G708" s="1"/>
      <c r="H708" s="1"/>
    </row>
    <row r="709" spans="1:8" ht="15.75" customHeight="1">
      <c r="A709" s="1"/>
      <c r="B709" s="1"/>
      <c r="C709" s="1"/>
      <c r="D709" s="1"/>
      <c r="E709" s="1"/>
      <c r="F709" s="1"/>
      <c r="G709" s="1"/>
      <c r="H709" s="1"/>
    </row>
    <row r="710" spans="1:8" ht="15.75" customHeight="1">
      <c r="A710" s="1"/>
      <c r="B710" s="1"/>
      <c r="C710" s="1"/>
      <c r="D710" s="1"/>
      <c r="E710" s="1"/>
      <c r="F710" s="1"/>
      <c r="G710" s="1"/>
      <c r="H710" s="1"/>
    </row>
    <row r="711" spans="1:8" ht="15.75" customHeight="1">
      <c r="A711" s="1"/>
      <c r="B711" s="1"/>
      <c r="C711" s="1"/>
      <c r="D711" s="1"/>
      <c r="E711" s="1"/>
      <c r="F711" s="1"/>
      <c r="G711" s="1"/>
      <c r="H711" s="1"/>
    </row>
    <row r="712" spans="1:8" ht="15.75" customHeight="1">
      <c r="A712" s="1"/>
      <c r="B712" s="1"/>
      <c r="C712" s="1"/>
      <c r="D712" s="1"/>
      <c r="E712" s="1"/>
      <c r="F712" s="1"/>
      <c r="G712" s="1"/>
      <c r="H712" s="1"/>
    </row>
    <row r="713" spans="1:8" ht="15.75" customHeight="1">
      <c r="A713" s="1"/>
      <c r="B713" s="1"/>
      <c r="C713" s="1"/>
      <c r="D713" s="1"/>
      <c r="E713" s="1"/>
      <c r="F713" s="1"/>
      <c r="G713" s="1"/>
      <c r="H713" s="1"/>
    </row>
    <row r="714" spans="1:8" ht="15.75" customHeight="1">
      <c r="A714" s="1"/>
      <c r="B714" s="1"/>
      <c r="C714" s="1"/>
      <c r="D714" s="1"/>
      <c r="E714" s="1"/>
      <c r="F714" s="1"/>
      <c r="G714" s="1"/>
      <c r="H714" s="1"/>
    </row>
    <row r="715" spans="1:8" ht="15.75" customHeight="1">
      <c r="A715" s="1"/>
      <c r="B715" s="1"/>
      <c r="C715" s="1"/>
      <c r="D715" s="1"/>
      <c r="E715" s="1"/>
      <c r="F715" s="1"/>
      <c r="G715" s="1"/>
      <c r="H715" s="1"/>
    </row>
    <row r="716" spans="1:8" ht="15.75" customHeight="1">
      <c r="A716" s="1"/>
      <c r="B716" s="1"/>
      <c r="C716" s="1"/>
      <c r="D716" s="1"/>
      <c r="E716" s="1"/>
      <c r="F716" s="1"/>
      <c r="G716" s="1"/>
      <c r="H716" s="1"/>
    </row>
    <row r="717" spans="1:8" ht="15.75" customHeight="1">
      <c r="A717" s="1"/>
      <c r="B717" s="1"/>
      <c r="C717" s="1"/>
      <c r="D717" s="1"/>
      <c r="E717" s="1"/>
      <c r="F717" s="1"/>
      <c r="G717" s="1"/>
      <c r="H717" s="1"/>
    </row>
    <row r="718" spans="1:8" ht="15.75" customHeight="1">
      <c r="A718" s="1"/>
      <c r="B718" s="1"/>
      <c r="C718" s="1"/>
      <c r="D718" s="1"/>
      <c r="E718" s="1"/>
      <c r="F718" s="1"/>
      <c r="G718" s="1"/>
      <c r="H718" s="1"/>
    </row>
    <row r="719" spans="1:8" ht="15.75" customHeight="1">
      <c r="A719" s="1"/>
      <c r="B719" s="1"/>
      <c r="C719" s="1"/>
      <c r="D719" s="1"/>
      <c r="E719" s="1"/>
      <c r="F719" s="1"/>
      <c r="G719" s="1"/>
      <c r="H719" s="1"/>
    </row>
    <row r="720" spans="1:8" ht="15.75" customHeight="1">
      <c r="A720" s="1"/>
      <c r="B720" s="1"/>
      <c r="C720" s="1"/>
      <c r="D720" s="1"/>
      <c r="E720" s="1"/>
      <c r="F720" s="1"/>
      <c r="G720" s="1"/>
      <c r="H720" s="1"/>
    </row>
    <row r="721" spans="1:8" ht="15.75" customHeight="1">
      <c r="A721" s="1"/>
      <c r="B721" s="1"/>
      <c r="C721" s="1"/>
      <c r="D721" s="1"/>
      <c r="E721" s="1"/>
      <c r="F721" s="1"/>
      <c r="G721" s="1"/>
      <c r="H721" s="1"/>
    </row>
    <row r="722" spans="1:8" ht="15.75" customHeight="1">
      <c r="A722" s="1"/>
      <c r="B722" s="1"/>
      <c r="C722" s="1"/>
      <c r="D722" s="1"/>
      <c r="E722" s="1"/>
      <c r="F722" s="1"/>
      <c r="G722" s="1"/>
      <c r="H722" s="1"/>
    </row>
    <row r="723" spans="1:8" ht="15.75" customHeight="1">
      <c r="A723" s="1"/>
      <c r="B723" s="1"/>
      <c r="C723" s="1"/>
      <c r="D723" s="1"/>
      <c r="E723" s="1"/>
      <c r="F723" s="1"/>
      <c r="G723" s="1"/>
      <c r="H723" s="1"/>
    </row>
    <row r="724" spans="1:8" ht="15.75" customHeight="1">
      <c r="A724" s="1"/>
      <c r="B724" s="1"/>
      <c r="C724" s="1"/>
      <c r="D724" s="1"/>
      <c r="E724" s="1"/>
      <c r="F724" s="1"/>
      <c r="G724" s="1"/>
      <c r="H724" s="1"/>
    </row>
    <row r="725" spans="1:8" ht="15.75" customHeight="1">
      <c r="A725" s="1"/>
      <c r="B725" s="1"/>
      <c r="C725" s="1"/>
      <c r="D725" s="1"/>
      <c r="E725" s="1"/>
      <c r="F725" s="1"/>
      <c r="G725" s="1"/>
      <c r="H725" s="1"/>
    </row>
    <row r="726" spans="1:8" ht="15.75" customHeight="1">
      <c r="A726" s="1"/>
      <c r="B726" s="1"/>
      <c r="C726" s="1"/>
      <c r="D726" s="1"/>
      <c r="E726" s="1"/>
      <c r="F726" s="1"/>
      <c r="G726" s="1"/>
      <c r="H726" s="1"/>
    </row>
    <row r="727" spans="1:8" ht="15.75" customHeight="1">
      <c r="A727" s="1"/>
      <c r="B727" s="1"/>
      <c r="C727" s="1"/>
      <c r="D727" s="1"/>
      <c r="E727" s="1"/>
      <c r="F727" s="1"/>
      <c r="G727" s="1"/>
      <c r="H727" s="1"/>
    </row>
    <row r="728" spans="1:8" ht="15.75" customHeight="1">
      <c r="A728" s="1"/>
      <c r="B728" s="1"/>
      <c r="C728" s="1"/>
      <c r="D728" s="1"/>
      <c r="E728" s="1"/>
      <c r="F728" s="1"/>
      <c r="G728" s="1"/>
      <c r="H728" s="1"/>
    </row>
    <row r="729" spans="1:8" ht="15.75" customHeight="1">
      <c r="A729" s="1"/>
      <c r="B729" s="1"/>
      <c r="C729" s="1"/>
      <c r="D729" s="1"/>
      <c r="E729" s="1"/>
      <c r="F729" s="1"/>
      <c r="G729" s="1"/>
      <c r="H729" s="1"/>
    </row>
    <row r="730" spans="1:8" ht="15.75" customHeight="1">
      <c r="A730" s="1"/>
      <c r="B730" s="1"/>
      <c r="C730" s="1"/>
      <c r="D730" s="1"/>
      <c r="E730" s="1"/>
      <c r="F730" s="1"/>
      <c r="G730" s="1"/>
      <c r="H730" s="1"/>
    </row>
    <row r="731" spans="1:8" ht="15.75" customHeight="1">
      <c r="A731" s="1"/>
      <c r="B731" s="1"/>
      <c r="C731" s="1"/>
      <c r="D731" s="1"/>
      <c r="E731" s="1"/>
      <c r="F731" s="1"/>
      <c r="G731" s="1"/>
      <c r="H731" s="1"/>
    </row>
    <row r="732" spans="1:8" ht="15.75" customHeight="1">
      <c r="A732" s="1"/>
      <c r="B732" s="1"/>
      <c r="C732" s="1"/>
      <c r="D732" s="1"/>
      <c r="E732" s="1"/>
      <c r="F732" s="1"/>
      <c r="G732" s="1"/>
      <c r="H732" s="1"/>
    </row>
    <row r="733" spans="1:8" ht="15.75" customHeight="1">
      <c r="A733" s="1"/>
      <c r="B733" s="1"/>
      <c r="C733" s="1"/>
      <c r="D733" s="1"/>
      <c r="E733" s="1"/>
      <c r="F733" s="1"/>
      <c r="G733" s="1"/>
      <c r="H733" s="1"/>
    </row>
    <row r="734" spans="1:8" ht="15.75" customHeight="1">
      <c r="A734" s="1"/>
      <c r="B734" s="1"/>
      <c r="C734" s="1"/>
      <c r="D734" s="1"/>
      <c r="E734" s="1"/>
      <c r="F734" s="1"/>
      <c r="G734" s="1"/>
      <c r="H734" s="1"/>
    </row>
    <row r="735" spans="1:8" ht="15.75" customHeight="1">
      <c r="A735" s="1"/>
      <c r="B735" s="1"/>
      <c r="C735" s="1"/>
      <c r="D735" s="1"/>
      <c r="E735" s="1"/>
      <c r="F735" s="1"/>
      <c r="G735" s="1"/>
      <c r="H735" s="1"/>
    </row>
    <row r="736" spans="1:8" ht="15.75" customHeight="1">
      <c r="A736" s="1"/>
      <c r="B736" s="1"/>
      <c r="C736" s="1"/>
      <c r="D736" s="1"/>
      <c r="E736" s="1"/>
      <c r="F736" s="1"/>
      <c r="G736" s="1"/>
      <c r="H736" s="1"/>
    </row>
    <row r="737" spans="1:8" ht="15.75" customHeight="1">
      <c r="A737" s="1"/>
      <c r="B737" s="1"/>
      <c r="C737" s="1"/>
      <c r="D737" s="1"/>
      <c r="E737" s="1"/>
      <c r="F737" s="1"/>
      <c r="G737" s="1"/>
      <c r="H737" s="1"/>
    </row>
    <row r="738" spans="1:8" ht="15.75" customHeight="1">
      <c r="A738" s="1"/>
      <c r="B738" s="1"/>
      <c r="C738" s="1"/>
      <c r="D738" s="1"/>
      <c r="E738" s="1"/>
      <c r="F738" s="1"/>
      <c r="G738" s="1"/>
      <c r="H738" s="1"/>
    </row>
    <row r="739" spans="1:8" ht="15.75" customHeight="1">
      <c r="A739" s="1"/>
      <c r="B739" s="1"/>
      <c r="C739" s="1"/>
      <c r="D739" s="1"/>
      <c r="E739" s="1"/>
      <c r="F739" s="1"/>
      <c r="G739" s="1"/>
      <c r="H739" s="1"/>
    </row>
    <row r="740" spans="1:8" ht="15.75" customHeight="1">
      <c r="A740" s="1"/>
      <c r="B740" s="1"/>
      <c r="C740" s="1"/>
      <c r="D740" s="1"/>
      <c r="E740" s="1"/>
      <c r="F740" s="1"/>
      <c r="G740" s="1"/>
      <c r="H740" s="1"/>
    </row>
    <row r="741" spans="1:8" ht="15.75" customHeight="1">
      <c r="A741" s="1"/>
      <c r="B741" s="1"/>
      <c r="C741" s="1"/>
      <c r="D741" s="1"/>
      <c r="E741" s="1"/>
      <c r="F741" s="1"/>
      <c r="G741" s="1"/>
      <c r="H741" s="1"/>
    </row>
    <row r="742" spans="1:8" ht="15.75" customHeight="1">
      <c r="A742" s="1"/>
      <c r="B742" s="1"/>
      <c r="C742" s="1"/>
      <c r="D742" s="1"/>
      <c r="E742" s="1"/>
      <c r="F742" s="1"/>
      <c r="G742" s="1"/>
      <c r="H742" s="1"/>
    </row>
    <row r="743" spans="1:8" ht="15.75" customHeight="1">
      <c r="A743" s="1"/>
      <c r="B743" s="1"/>
      <c r="C743" s="1"/>
      <c r="D743" s="1"/>
      <c r="E743" s="1"/>
      <c r="F743" s="1"/>
      <c r="G743" s="1"/>
      <c r="H743" s="1"/>
    </row>
    <row r="744" spans="1:8" ht="15.75" customHeight="1">
      <c r="A744" s="1"/>
      <c r="B744" s="1"/>
      <c r="C744" s="1"/>
      <c r="D744" s="1"/>
      <c r="E744" s="1"/>
      <c r="F744" s="1"/>
      <c r="G744" s="1"/>
      <c r="H744" s="1"/>
    </row>
    <row r="745" spans="1:8" ht="15.75" customHeight="1">
      <c r="A745" s="1"/>
      <c r="B745" s="1"/>
      <c r="C745" s="1"/>
      <c r="D745" s="1"/>
      <c r="E745" s="1"/>
      <c r="F745" s="1"/>
      <c r="G745" s="1"/>
      <c r="H745" s="1"/>
    </row>
    <row r="746" spans="1:8" ht="15.75" customHeight="1">
      <c r="A746" s="1"/>
      <c r="B746" s="1"/>
      <c r="C746" s="1"/>
      <c r="D746" s="1"/>
      <c r="E746" s="1"/>
      <c r="F746" s="1"/>
      <c r="G746" s="1"/>
      <c r="H746" s="1"/>
    </row>
    <row r="747" spans="1:8" ht="15.75" customHeight="1">
      <c r="A747" s="1"/>
      <c r="B747" s="1"/>
      <c r="C747" s="1"/>
      <c r="D747" s="1"/>
      <c r="E747" s="1"/>
      <c r="F747" s="1"/>
      <c r="G747" s="1"/>
      <c r="H747" s="1"/>
    </row>
    <row r="748" spans="1:8" ht="15.75" customHeight="1">
      <c r="A748" s="1"/>
      <c r="B748" s="1"/>
      <c r="C748" s="1"/>
      <c r="D748" s="1"/>
      <c r="E748" s="1"/>
      <c r="F748" s="1"/>
      <c r="G748" s="1"/>
      <c r="H748" s="1"/>
    </row>
    <row r="749" spans="1:8" ht="15.75" customHeight="1">
      <c r="A749" s="1"/>
      <c r="B749" s="1"/>
      <c r="C749" s="1"/>
      <c r="D749" s="1"/>
      <c r="E749" s="1"/>
      <c r="F749" s="1"/>
      <c r="G749" s="1"/>
      <c r="H749" s="1"/>
    </row>
    <row r="750" spans="1:8" ht="15.75" customHeight="1">
      <c r="A750" s="1"/>
      <c r="B750" s="1"/>
      <c r="C750" s="1"/>
      <c r="D750" s="1"/>
      <c r="E750" s="1"/>
      <c r="F750" s="1"/>
      <c r="G750" s="1"/>
      <c r="H750" s="1"/>
    </row>
    <row r="751" spans="1:8" ht="15.75" customHeight="1">
      <c r="A751" s="1"/>
      <c r="B751" s="1"/>
      <c r="C751" s="1"/>
      <c r="D751" s="1"/>
      <c r="E751" s="1"/>
      <c r="F751" s="1"/>
      <c r="G751" s="1"/>
      <c r="H751" s="1"/>
    </row>
    <row r="752" spans="1:8" ht="15.75" customHeight="1">
      <c r="A752" s="1"/>
      <c r="B752" s="1"/>
      <c r="C752" s="1"/>
      <c r="D752" s="1"/>
      <c r="E752" s="1"/>
      <c r="F752" s="1"/>
      <c r="G752" s="1"/>
      <c r="H752" s="1"/>
    </row>
    <row r="753" spans="1:8" ht="15.75" customHeight="1">
      <c r="A753" s="1"/>
      <c r="B753" s="1"/>
      <c r="C753" s="1"/>
      <c r="D753" s="1"/>
      <c r="E753" s="1"/>
      <c r="F753" s="1"/>
      <c r="G753" s="1"/>
      <c r="H753" s="1"/>
    </row>
    <row r="754" spans="1:8" ht="15.75" customHeight="1">
      <c r="A754" s="1"/>
      <c r="B754" s="1"/>
      <c r="C754" s="1"/>
      <c r="D754" s="1"/>
      <c r="E754" s="1"/>
      <c r="F754" s="1"/>
      <c r="G754" s="1"/>
      <c r="H754" s="1"/>
    </row>
    <row r="755" spans="1:8" ht="15.75" customHeight="1">
      <c r="A755" s="1"/>
      <c r="B755" s="1"/>
      <c r="C755" s="1"/>
      <c r="D755" s="1"/>
      <c r="E755" s="1"/>
      <c r="F755" s="1"/>
      <c r="G755" s="1"/>
      <c r="H755" s="1"/>
    </row>
    <row r="756" spans="1:8" ht="15.75" customHeight="1">
      <c r="A756" s="1"/>
      <c r="B756" s="1"/>
      <c r="C756" s="1"/>
      <c r="D756" s="1"/>
      <c r="E756" s="1"/>
      <c r="F756" s="1"/>
      <c r="G756" s="1"/>
      <c r="H756" s="1"/>
    </row>
    <row r="757" spans="1:8" ht="15.75" customHeight="1">
      <c r="A757" s="1"/>
      <c r="B757" s="1"/>
      <c r="C757" s="1"/>
      <c r="D757" s="1"/>
      <c r="E757" s="1"/>
      <c r="F757" s="1"/>
      <c r="G757" s="1"/>
      <c r="H757" s="1"/>
    </row>
    <row r="758" spans="1:8" ht="15.75" customHeight="1">
      <c r="A758" s="1"/>
      <c r="B758" s="1"/>
      <c r="C758" s="1"/>
      <c r="D758" s="1"/>
      <c r="E758" s="1"/>
      <c r="F758" s="1"/>
      <c r="G758" s="1"/>
      <c r="H758" s="1"/>
    </row>
    <row r="759" spans="1:8" ht="15.75" customHeight="1">
      <c r="A759" s="1"/>
      <c r="B759" s="1"/>
      <c r="C759" s="1"/>
      <c r="D759" s="1"/>
      <c r="E759" s="1"/>
      <c r="F759" s="1"/>
      <c r="G759" s="1"/>
      <c r="H759" s="1"/>
    </row>
    <row r="760" spans="1:8" ht="15.75" customHeight="1">
      <c r="A760" s="1"/>
      <c r="B760" s="1"/>
      <c r="C760" s="1"/>
      <c r="D760" s="1"/>
      <c r="E760" s="1"/>
      <c r="F760" s="1"/>
      <c r="G760" s="1"/>
      <c r="H760" s="1"/>
    </row>
    <row r="761" spans="1:8" ht="15.75" customHeight="1">
      <c r="A761" s="1"/>
      <c r="B761" s="1"/>
      <c r="C761" s="1"/>
      <c r="D761" s="1"/>
      <c r="E761" s="1"/>
      <c r="F761" s="1"/>
      <c r="G761" s="1"/>
      <c r="H761" s="1"/>
    </row>
    <row r="762" spans="1:8" ht="15.75" customHeight="1">
      <c r="A762" s="1"/>
      <c r="B762" s="1"/>
      <c r="C762" s="1"/>
      <c r="D762" s="1"/>
      <c r="E762" s="1"/>
      <c r="F762" s="1"/>
      <c r="G762" s="1"/>
      <c r="H762" s="1"/>
    </row>
    <row r="763" spans="1:8" ht="15.75" customHeight="1">
      <c r="A763" s="1"/>
      <c r="B763" s="1"/>
      <c r="C763" s="1"/>
      <c r="D763" s="1"/>
      <c r="E763" s="1"/>
      <c r="F763" s="1"/>
      <c r="G763" s="1"/>
      <c r="H763" s="1"/>
    </row>
    <row r="764" spans="1:8" ht="15.75" customHeight="1">
      <c r="A764" s="1"/>
      <c r="B764" s="1"/>
      <c r="C764" s="1"/>
      <c r="D764" s="1"/>
      <c r="E764" s="1"/>
      <c r="F764" s="1"/>
      <c r="G764" s="1"/>
      <c r="H764" s="1"/>
    </row>
    <row r="765" spans="1:8" ht="15.75" customHeight="1">
      <c r="A765" s="1"/>
      <c r="B765" s="1"/>
      <c r="C765" s="1"/>
      <c r="D765" s="1"/>
      <c r="E765" s="1"/>
      <c r="F765" s="1"/>
      <c r="G765" s="1"/>
      <c r="H765" s="1"/>
    </row>
    <row r="766" spans="1:8" ht="15.75" customHeight="1">
      <c r="A766" s="1"/>
      <c r="B766" s="1"/>
      <c r="C766" s="1"/>
      <c r="D766" s="1"/>
      <c r="E766" s="1"/>
      <c r="F766" s="1"/>
      <c r="G766" s="1"/>
      <c r="H766" s="1"/>
    </row>
    <row r="767" spans="1:8" ht="15.75" customHeight="1">
      <c r="A767" s="1"/>
      <c r="B767" s="1"/>
      <c r="C767" s="1"/>
      <c r="D767" s="1"/>
      <c r="E767" s="1"/>
      <c r="F767" s="1"/>
      <c r="G767" s="1"/>
      <c r="H767" s="1"/>
    </row>
    <row r="768" spans="1:8" ht="15.75" customHeight="1">
      <c r="A768" s="1"/>
      <c r="B768" s="1"/>
      <c r="C768" s="1"/>
      <c r="D768" s="1"/>
      <c r="E768" s="1"/>
      <c r="F768" s="1"/>
      <c r="G768" s="1"/>
      <c r="H768" s="1"/>
    </row>
    <row r="769" spans="1:8" ht="15.75" customHeight="1">
      <c r="A769" s="1"/>
      <c r="B769" s="1"/>
      <c r="C769" s="1"/>
      <c r="D769" s="1"/>
      <c r="E769" s="1"/>
      <c r="F769" s="1"/>
      <c r="G769" s="1"/>
      <c r="H769" s="1"/>
    </row>
    <row r="770" spans="1:8" ht="15.75" customHeight="1">
      <c r="A770" s="1"/>
      <c r="B770" s="1"/>
      <c r="C770" s="1"/>
      <c r="D770" s="1"/>
      <c r="E770" s="1"/>
      <c r="F770" s="1"/>
      <c r="G770" s="1"/>
      <c r="H770" s="1"/>
    </row>
    <row r="771" spans="1:8" ht="15.75" customHeight="1">
      <c r="A771" s="1"/>
      <c r="B771" s="1"/>
      <c r="C771" s="1"/>
      <c r="D771" s="1"/>
      <c r="E771" s="1"/>
      <c r="F771" s="1"/>
      <c r="G771" s="1"/>
      <c r="H771" s="1"/>
    </row>
    <row r="772" spans="1:8" ht="15.75" customHeight="1">
      <c r="A772" s="1"/>
      <c r="B772" s="1"/>
      <c r="C772" s="1"/>
      <c r="D772" s="1"/>
      <c r="E772" s="1"/>
      <c r="F772" s="1"/>
      <c r="G772" s="1"/>
      <c r="H772" s="1"/>
    </row>
    <row r="773" spans="1:8" ht="15.75" customHeight="1">
      <c r="A773" s="1"/>
      <c r="B773" s="1"/>
      <c r="C773" s="1"/>
      <c r="D773" s="1"/>
      <c r="E773" s="1"/>
      <c r="F773" s="1"/>
      <c r="G773" s="1"/>
      <c r="H773" s="1"/>
    </row>
    <row r="774" spans="1:8" ht="15.75" customHeight="1">
      <c r="A774" s="1"/>
      <c r="B774" s="1"/>
      <c r="C774" s="1"/>
      <c r="D774" s="1"/>
      <c r="E774" s="1"/>
      <c r="F774" s="1"/>
      <c r="G774" s="1"/>
      <c r="H774" s="1"/>
    </row>
    <row r="775" spans="1:8" ht="15.75" customHeight="1">
      <c r="A775" s="1"/>
      <c r="B775" s="1"/>
      <c r="C775" s="1"/>
      <c r="D775" s="1"/>
      <c r="E775" s="1"/>
      <c r="F775" s="1"/>
      <c r="G775" s="1"/>
      <c r="H775" s="1"/>
    </row>
    <row r="776" spans="1:8" ht="15.75" customHeight="1">
      <c r="A776" s="1"/>
      <c r="B776" s="1"/>
      <c r="C776" s="1"/>
      <c r="D776" s="1"/>
      <c r="E776" s="1"/>
      <c r="F776" s="1"/>
      <c r="G776" s="1"/>
      <c r="H776" s="1"/>
    </row>
    <row r="777" spans="1:8" ht="15.75" customHeight="1">
      <c r="A777" s="1"/>
      <c r="B777" s="1"/>
      <c r="C777" s="1"/>
      <c r="D777" s="1"/>
      <c r="E777" s="1"/>
      <c r="F777" s="1"/>
      <c r="G777" s="1"/>
      <c r="H777" s="1"/>
    </row>
    <row r="778" spans="1:8" ht="15.75" customHeight="1">
      <c r="A778" s="1"/>
      <c r="B778" s="1"/>
      <c r="C778" s="1"/>
      <c r="D778" s="1"/>
      <c r="E778" s="1"/>
      <c r="F778" s="1"/>
      <c r="G778" s="1"/>
      <c r="H778" s="1"/>
    </row>
    <row r="779" spans="1:8" ht="15.75" customHeight="1">
      <c r="A779" s="1"/>
      <c r="B779" s="1"/>
      <c r="C779" s="1"/>
      <c r="D779" s="1"/>
      <c r="E779" s="1"/>
      <c r="F779" s="1"/>
      <c r="G779" s="1"/>
      <c r="H779" s="1"/>
    </row>
    <row r="780" spans="1:8" ht="15.75" customHeight="1">
      <c r="A780" s="1"/>
      <c r="B780" s="1"/>
      <c r="C780" s="1"/>
      <c r="D780" s="1"/>
      <c r="E780" s="1"/>
      <c r="F780" s="1"/>
      <c r="G780" s="1"/>
      <c r="H780" s="1"/>
    </row>
    <row r="781" spans="1:8" ht="15.75" customHeight="1">
      <c r="A781" s="1"/>
      <c r="B781" s="1"/>
      <c r="C781" s="1"/>
      <c r="D781" s="1"/>
      <c r="E781" s="1"/>
      <c r="F781" s="1"/>
      <c r="G781" s="1"/>
      <c r="H781" s="1"/>
    </row>
    <row r="782" spans="1:8" ht="15.75" customHeight="1">
      <c r="A782" s="1"/>
      <c r="B782" s="1"/>
      <c r="C782" s="1"/>
      <c r="D782" s="1"/>
      <c r="E782" s="1"/>
      <c r="F782" s="1"/>
      <c r="G782" s="1"/>
      <c r="H782" s="1"/>
    </row>
    <row r="783" spans="1:8" ht="15.75" customHeight="1">
      <c r="A783" s="1"/>
      <c r="B783" s="1"/>
      <c r="C783" s="1"/>
      <c r="D783" s="1"/>
      <c r="E783" s="1"/>
      <c r="F783" s="1"/>
      <c r="G783" s="1"/>
      <c r="H783" s="1"/>
    </row>
    <row r="784" spans="1:8" ht="15.75" customHeight="1">
      <c r="A784" s="1"/>
      <c r="B784" s="1"/>
      <c r="C784" s="1"/>
      <c r="D784" s="1"/>
      <c r="E784" s="1"/>
      <c r="F784" s="1"/>
      <c r="G784" s="1"/>
      <c r="H784" s="1"/>
    </row>
    <row r="785" spans="1:8" ht="15.75" customHeight="1">
      <c r="A785" s="1"/>
      <c r="B785" s="1"/>
      <c r="C785" s="1"/>
      <c r="D785" s="1"/>
      <c r="E785" s="1"/>
      <c r="F785" s="1"/>
      <c r="G785" s="1"/>
      <c r="H785" s="1"/>
    </row>
    <row r="786" spans="1:8" ht="15.75" customHeight="1">
      <c r="A786" s="1"/>
      <c r="B786" s="1"/>
      <c r="C786" s="1"/>
      <c r="D786" s="1"/>
      <c r="E786" s="1"/>
      <c r="F786" s="1"/>
      <c r="G786" s="1"/>
      <c r="H786" s="1"/>
    </row>
    <row r="787" spans="1:8" ht="15.75" customHeight="1">
      <c r="A787" s="1"/>
      <c r="B787" s="1"/>
      <c r="C787" s="1"/>
      <c r="D787" s="1"/>
      <c r="E787" s="1"/>
      <c r="F787" s="1"/>
      <c r="G787" s="1"/>
      <c r="H787" s="1"/>
    </row>
    <row r="788" spans="1:8" ht="15.75" customHeight="1">
      <c r="A788" s="1"/>
      <c r="B788" s="1"/>
      <c r="C788" s="1"/>
      <c r="D788" s="1"/>
      <c r="E788" s="1"/>
      <c r="F788" s="1"/>
      <c r="G788" s="1"/>
      <c r="H788" s="1"/>
    </row>
    <row r="789" spans="1:8" ht="15.75" customHeight="1">
      <c r="A789" s="1"/>
      <c r="B789" s="1"/>
      <c r="C789" s="1"/>
      <c r="D789" s="1"/>
      <c r="E789" s="1"/>
      <c r="F789" s="1"/>
      <c r="G789" s="1"/>
      <c r="H789" s="1"/>
    </row>
    <row r="790" spans="1:8" ht="15.75" customHeight="1">
      <c r="A790" s="1"/>
      <c r="B790" s="1"/>
      <c r="C790" s="1"/>
      <c r="D790" s="1"/>
      <c r="E790" s="1"/>
      <c r="F790" s="1"/>
      <c r="G790" s="1"/>
      <c r="H790" s="1"/>
    </row>
    <row r="791" spans="1:8" ht="15.75" customHeight="1">
      <c r="A791" s="1"/>
      <c r="B791" s="1"/>
      <c r="C791" s="1"/>
      <c r="D791" s="1"/>
      <c r="E791" s="1"/>
      <c r="F791" s="1"/>
      <c r="G791" s="1"/>
      <c r="H791" s="1"/>
    </row>
    <row r="792" spans="1:8" ht="15.75" customHeight="1">
      <c r="A792" s="1"/>
      <c r="B792" s="1"/>
      <c r="C792" s="1"/>
      <c r="D792" s="1"/>
      <c r="E792" s="1"/>
      <c r="F792" s="1"/>
      <c r="G792" s="1"/>
      <c r="H792" s="1"/>
    </row>
    <row r="793" spans="1:8" ht="15.75" customHeight="1">
      <c r="A793" s="1"/>
      <c r="B793" s="1"/>
      <c r="C793" s="1"/>
      <c r="D793" s="1"/>
      <c r="E793" s="1"/>
      <c r="F793" s="1"/>
      <c r="G793" s="1"/>
      <c r="H793" s="1"/>
    </row>
    <row r="794" spans="1:8" ht="15.75" customHeight="1">
      <c r="A794" s="1"/>
      <c r="B794" s="1"/>
      <c r="C794" s="1"/>
      <c r="D794" s="1"/>
      <c r="E794" s="1"/>
      <c r="F794" s="1"/>
      <c r="G794" s="1"/>
      <c r="H794" s="1"/>
    </row>
    <row r="795" spans="1:8" ht="15.75" customHeight="1">
      <c r="A795" s="1"/>
      <c r="B795" s="1"/>
      <c r="C795" s="1"/>
      <c r="D795" s="1"/>
      <c r="E795" s="1"/>
      <c r="F795" s="1"/>
      <c r="G795" s="1"/>
      <c r="H795" s="1"/>
    </row>
    <row r="796" spans="1:8" ht="15.75" customHeight="1">
      <c r="A796" s="1"/>
      <c r="B796" s="1"/>
      <c r="C796" s="1"/>
      <c r="D796" s="1"/>
      <c r="E796" s="1"/>
      <c r="F796" s="1"/>
      <c r="G796" s="1"/>
      <c r="H796" s="1"/>
    </row>
    <row r="797" spans="1:8" ht="15.75" customHeight="1">
      <c r="A797" s="1"/>
      <c r="B797" s="1"/>
      <c r="C797" s="1"/>
      <c r="D797" s="1"/>
      <c r="E797" s="1"/>
      <c r="F797" s="1"/>
      <c r="G797" s="1"/>
      <c r="H797" s="1"/>
    </row>
    <row r="798" spans="1:8" ht="15.75" customHeight="1">
      <c r="A798" s="1"/>
      <c r="B798" s="1"/>
      <c r="C798" s="1"/>
      <c r="D798" s="1"/>
      <c r="E798" s="1"/>
      <c r="F798" s="1"/>
      <c r="G798" s="1"/>
      <c r="H798" s="1"/>
    </row>
    <row r="799" spans="1:8" ht="15.75" customHeight="1">
      <c r="A799" s="1"/>
      <c r="B799" s="1"/>
      <c r="C799" s="1"/>
      <c r="D799" s="1"/>
      <c r="E799" s="1"/>
      <c r="F799" s="1"/>
      <c r="G799" s="1"/>
      <c r="H799" s="1"/>
    </row>
    <row r="800" spans="1:8" ht="15.75" customHeight="1">
      <c r="A800" s="1"/>
      <c r="B800" s="1"/>
      <c r="C800" s="1"/>
      <c r="D800" s="1"/>
      <c r="E800" s="1"/>
      <c r="F800" s="1"/>
      <c r="G800" s="1"/>
      <c r="H800" s="1"/>
    </row>
    <row r="801" spans="1:8" ht="15.75" customHeight="1">
      <c r="A801" s="1"/>
      <c r="B801" s="1"/>
      <c r="C801" s="1"/>
      <c r="D801" s="1"/>
      <c r="E801" s="1"/>
      <c r="F801" s="1"/>
      <c r="G801" s="1"/>
      <c r="H801" s="1"/>
    </row>
    <row r="802" spans="1:8" ht="15.75" customHeight="1">
      <c r="A802" s="1"/>
      <c r="B802" s="1"/>
      <c r="C802" s="1"/>
      <c r="D802" s="1"/>
      <c r="E802" s="1"/>
      <c r="F802" s="1"/>
      <c r="G802" s="1"/>
      <c r="H802" s="1"/>
    </row>
    <row r="803" spans="1:8" ht="15.75" customHeight="1">
      <c r="A803" s="1"/>
      <c r="B803" s="1"/>
      <c r="C803" s="1"/>
      <c r="D803" s="1"/>
      <c r="E803" s="1"/>
      <c r="F803" s="1"/>
      <c r="G803" s="1"/>
      <c r="H803" s="1"/>
    </row>
    <row r="804" spans="1:8" ht="15.75" customHeight="1">
      <c r="A804" s="1"/>
      <c r="B804" s="1"/>
      <c r="C804" s="1"/>
      <c r="D804" s="1"/>
      <c r="E804" s="1"/>
      <c r="F804" s="1"/>
      <c r="G804" s="1"/>
      <c r="H804" s="1"/>
    </row>
    <row r="805" spans="1:8" ht="15.75" customHeight="1">
      <c r="A805" s="1"/>
      <c r="B805" s="1"/>
      <c r="C805" s="1"/>
      <c r="D805" s="1"/>
      <c r="E805" s="1"/>
      <c r="F805" s="1"/>
      <c r="G805" s="1"/>
      <c r="H805" s="1"/>
    </row>
    <row r="806" spans="1:8" ht="15.75" customHeight="1">
      <c r="A806" s="1"/>
      <c r="B806" s="1"/>
      <c r="C806" s="1"/>
      <c r="D806" s="1"/>
      <c r="E806" s="1"/>
      <c r="F806" s="1"/>
      <c r="G806" s="1"/>
      <c r="H806" s="1"/>
    </row>
    <row r="807" spans="1:8" ht="15.75" customHeight="1">
      <c r="A807" s="1"/>
      <c r="B807" s="1"/>
      <c r="C807" s="1"/>
      <c r="D807" s="1"/>
      <c r="E807" s="1"/>
      <c r="F807" s="1"/>
      <c r="G807" s="1"/>
      <c r="H807" s="1"/>
    </row>
    <row r="808" spans="1:8" ht="15.75" customHeight="1">
      <c r="A808" s="1"/>
      <c r="B808" s="1"/>
      <c r="C808" s="1"/>
      <c r="D808" s="1"/>
      <c r="E808" s="1"/>
      <c r="F808" s="1"/>
      <c r="G808" s="1"/>
      <c r="H808" s="1"/>
    </row>
    <row r="809" spans="1:8" ht="15.75" customHeight="1">
      <c r="A809" s="1"/>
      <c r="B809" s="1"/>
      <c r="C809" s="1"/>
      <c r="D809" s="1"/>
      <c r="E809" s="1"/>
      <c r="F809" s="1"/>
      <c r="G809" s="1"/>
      <c r="H809" s="1"/>
    </row>
    <row r="810" spans="1:8" ht="15.75" customHeight="1">
      <c r="A810" s="1"/>
      <c r="B810" s="1"/>
      <c r="C810" s="1"/>
      <c r="D810" s="1"/>
      <c r="E810" s="1"/>
      <c r="F810" s="1"/>
      <c r="G810" s="1"/>
      <c r="H810" s="1"/>
    </row>
    <row r="811" spans="1:8" ht="15.75" customHeight="1">
      <c r="A811" s="1"/>
      <c r="B811" s="1"/>
      <c r="C811" s="1"/>
      <c r="D811" s="1"/>
      <c r="E811" s="1"/>
      <c r="F811" s="1"/>
      <c r="G811" s="1"/>
      <c r="H811" s="1"/>
    </row>
    <row r="812" spans="1:8" ht="15.75" customHeight="1">
      <c r="A812" s="1"/>
      <c r="B812" s="1"/>
      <c r="C812" s="1"/>
      <c r="D812" s="1"/>
      <c r="E812" s="1"/>
      <c r="F812" s="1"/>
      <c r="G812" s="1"/>
      <c r="H812" s="1"/>
    </row>
    <row r="813" spans="1:8" ht="15.75" customHeight="1">
      <c r="A813" s="1"/>
      <c r="B813" s="1"/>
      <c r="C813" s="1"/>
      <c r="D813" s="1"/>
      <c r="E813" s="1"/>
      <c r="F813" s="1"/>
      <c r="G813" s="1"/>
      <c r="H813" s="1"/>
    </row>
    <row r="814" spans="1:8" ht="15.75" customHeight="1">
      <c r="A814" s="1"/>
      <c r="B814" s="1"/>
      <c r="C814" s="1"/>
      <c r="D814" s="1"/>
      <c r="E814" s="1"/>
      <c r="F814" s="1"/>
      <c r="G814" s="1"/>
      <c r="H814" s="1"/>
    </row>
    <row r="815" spans="1:8" ht="15.75" customHeight="1">
      <c r="A815" s="1"/>
      <c r="B815" s="1"/>
      <c r="C815" s="1"/>
      <c r="D815" s="1"/>
      <c r="E815" s="1"/>
      <c r="F815" s="1"/>
      <c r="G815" s="1"/>
      <c r="H815" s="1"/>
    </row>
    <row r="816" spans="1:8" ht="15.75" customHeight="1">
      <c r="A816" s="1"/>
      <c r="B816" s="1"/>
      <c r="C816" s="1"/>
      <c r="D816" s="1"/>
      <c r="E816" s="1"/>
      <c r="F816" s="1"/>
      <c r="G816" s="1"/>
      <c r="H816" s="1"/>
    </row>
    <row r="817" spans="1:8" ht="15.75" customHeight="1">
      <c r="A817" s="1"/>
      <c r="B817" s="1"/>
      <c r="C817" s="1"/>
      <c r="D817" s="1"/>
      <c r="E817" s="1"/>
      <c r="F817" s="1"/>
      <c r="G817" s="1"/>
      <c r="H817" s="1"/>
    </row>
    <row r="818" spans="1:8" ht="15.75" customHeight="1">
      <c r="A818" s="1"/>
      <c r="B818" s="1"/>
      <c r="C818" s="1"/>
      <c r="D818" s="1"/>
      <c r="E818" s="1"/>
      <c r="F818" s="1"/>
      <c r="G818" s="1"/>
      <c r="H818" s="1"/>
    </row>
    <row r="819" spans="1:8" ht="15.75" customHeight="1">
      <c r="A819" s="1"/>
      <c r="B819" s="1"/>
      <c r="C819" s="1"/>
      <c r="D819" s="1"/>
      <c r="E819" s="1"/>
      <c r="F819" s="1"/>
      <c r="G819" s="1"/>
      <c r="H819" s="1"/>
    </row>
    <row r="820" spans="1:8" ht="15.75" customHeight="1">
      <c r="A820" s="1"/>
      <c r="B820" s="1"/>
      <c r="C820" s="1"/>
      <c r="D820" s="1"/>
      <c r="E820" s="1"/>
      <c r="F820" s="1"/>
      <c r="G820" s="1"/>
      <c r="H820" s="1"/>
    </row>
    <row r="821" spans="1:8" ht="15.75" customHeight="1">
      <c r="A821" s="1"/>
      <c r="B821" s="1"/>
      <c r="C821" s="1"/>
      <c r="D821" s="1"/>
      <c r="E821" s="1"/>
      <c r="F821" s="1"/>
      <c r="G821" s="1"/>
      <c r="H821" s="1"/>
    </row>
    <row r="822" spans="1:8" ht="15.75" customHeight="1">
      <c r="A822" s="1"/>
      <c r="B822" s="1"/>
      <c r="C822" s="1"/>
      <c r="D822" s="1"/>
      <c r="E822" s="1"/>
      <c r="F822" s="1"/>
      <c r="G822" s="1"/>
      <c r="H822" s="1"/>
    </row>
    <row r="823" spans="1:8" ht="15.75" customHeight="1">
      <c r="A823" s="1"/>
      <c r="B823" s="1"/>
      <c r="C823" s="1"/>
      <c r="D823" s="1"/>
      <c r="E823" s="1"/>
      <c r="F823" s="1"/>
      <c r="G823" s="1"/>
      <c r="H823" s="1"/>
    </row>
    <row r="824" spans="1:8" ht="15.75" customHeight="1">
      <c r="A824" s="1"/>
      <c r="B824" s="1"/>
      <c r="C824" s="1"/>
      <c r="D824" s="1"/>
      <c r="E824" s="1"/>
      <c r="F824" s="1"/>
      <c r="G824" s="1"/>
      <c r="H824" s="1"/>
    </row>
    <row r="825" spans="1:8" ht="15.75" customHeight="1">
      <c r="A825" s="1"/>
      <c r="B825" s="1"/>
      <c r="C825" s="1"/>
      <c r="D825" s="1"/>
      <c r="E825" s="1"/>
      <c r="F825" s="1"/>
      <c r="G825" s="1"/>
      <c r="H825" s="1"/>
    </row>
    <row r="826" spans="1:8" ht="15.75" customHeight="1">
      <c r="A826" s="1"/>
      <c r="B826" s="1"/>
      <c r="C826" s="1"/>
      <c r="D826" s="1"/>
      <c r="E826" s="1"/>
      <c r="F826" s="1"/>
      <c r="G826" s="1"/>
      <c r="H826" s="1"/>
    </row>
    <row r="827" spans="1:8" ht="15.75" customHeight="1">
      <c r="A827" s="1"/>
      <c r="B827" s="1"/>
      <c r="C827" s="1"/>
      <c r="D827" s="1"/>
      <c r="E827" s="1"/>
      <c r="F827" s="1"/>
      <c r="G827" s="1"/>
      <c r="H827" s="1"/>
    </row>
    <row r="828" spans="1:8" ht="15.75" customHeight="1">
      <c r="A828" s="1"/>
      <c r="B828" s="1"/>
      <c r="C828" s="1"/>
      <c r="D828" s="1"/>
      <c r="E828" s="1"/>
      <c r="F828" s="1"/>
      <c r="G828" s="1"/>
      <c r="H828" s="1"/>
    </row>
    <row r="829" spans="1:8" ht="15.75" customHeight="1">
      <c r="A829" s="1"/>
      <c r="B829" s="1"/>
      <c r="C829" s="1"/>
      <c r="D829" s="1"/>
      <c r="E829" s="1"/>
      <c r="F829" s="1"/>
      <c r="G829" s="1"/>
      <c r="H829" s="1"/>
    </row>
    <row r="830" spans="1:8" ht="15.75" customHeight="1">
      <c r="A830" s="1"/>
      <c r="B830" s="1"/>
      <c r="C830" s="1"/>
      <c r="D830" s="1"/>
      <c r="E830" s="1"/>
      <c r="F830" s="1"/>
      <c r="G830" s="1"/>
      <c r="H830" s="1"/>
    </row>
    <row r="831" spans="1:8" ht="15.75" customHeight="1">
      <c r="A831" s="1"/>
      <c r="B831" s="1"/>
      <c r="C831" s="1"/>
      <c r="D831" s="1"/>
      <c r="E831" s="1"/>
      <c r="F831" s="1"/>
      <c r="G831" s="1"/>
      <c r="H831" s="1"/>
    </row>
    <row r="832" spans="1:8" ht="15.75" customHeight="1">
      <c r="A832" s="1"/>
      <c r="B832" s="1"/>
      <c r="C832" s="1"/>
      <c r="D832" s="1"/>
      <c r="E832" s="1"/>
      <c r="F832" s="1"/>
      <c r="G832" s="1"/>
      <c r="H832" s="1"/>
    </row>
    <row r="833" spans="1:8" ht="15.75" customHeight="1">
      <c r="A833" s="1"/>
      <c r="B833" s="1"/>
      <c r="C833" s="1"/>
      <c r="D833" s="1"/>
      <c r="E833" s="1"/>
      <c r="F833" s="1"/>
      <c r="G833" s="1"/>
      <c r="H833" s="1"/>
    </row>
    <row r="834" spans="1:8" ht="15.75" customHeight="1">
      <c r="A834" s="1"/>
      <c r="B834" s="1"/>
      <c r="C834" s="1"/>
      <c r="D834" s="1"/>
      <c r="E834" s="1"/>
      <c r="F834" s="1"/>
      <c r="G834" s="1"/>
      <c r="H834" s="1"/>
    </row>
    <row r="835" spans="1:8" ht="15.75" customHeight="1">
      <c r="A835" s="1"/>
      <c r="B835" s="1"/>
      <c r="C835" s="1"/>
      <c r="D835" s="1"/>
      <c r="E835" s="1"/>
      <c r="F835" s="1"/>
      <c r="G835" s="1"/>
      <c r="H835" s="1"/>
    </row>
    <row r="836" spans="1:8" ht="15.75" customHeight="1">
      <c r="A836" s="1"/>
      <c r="B836" s="1"/>
      <c r="C836" s="1"/>
      <c r="D836" s="1"/>
      <c r="E836" s="1"/>
      <c r="F836" s="1"/>
      <c r="G836" s="1"/>
      <c r="H836" s="1"/>
    </row>
    <row r="837" spans="1:8" ht="15.75" customHeight="1">
      <c r="A837" s="1"/>
      <c r="B837" s="1"/>
      <c r="C837" s="1"/>
      <c r="D837" s="1"/>
      <c r="E837" s="1"/>
      <c r="F837" s="1"/>
      <c r="G837" s="1"/>
      <c r="H837" s="1"/>
    </row>
    <row r="838" spans="1:8" ht="15.75" customHeight="1">
      <c r="A838" s="1"/>
      <c r="B838" s="1"/>
      <c r="C838" s="1"/>
      <c r="D838" s="1"/>
      <c r="E838" s="1"/>
      <c r="F838" s="1"/>
      <c r="G838" s="1"/>
      <c r="H838" s="1"/>
    </row>
    <row r="839" spans="1:8" ht="15.75" customHeight="1">
      <c r="A839" s="1"/>
      <c r="B839" s="1"/>
      <c r="C839" s="1"/>
      <c r="D839" s="1"/>
      <c r="E839" s="1"/>
      <c r="F839" s="1"/>
      <c r="G839" s="1"/>
      <c r="H839" s="1"/>
    </row>
    <row r="840" spans="1:8" ht="15.75" customHeight="1">
      <c r="A840" s="1"/>
      <c r="B840" s="1"/>
      <c r="C840" s="1"/>
      <c r="D840" s="1"/>
      <c r="E840" s="1"/>
      <c r="F840" s="1"/>
      <c r="G840" s="1"/>
      <c r="H840" s="1"/>
    </row>
    <row r="841" spans="1:8" ht="15.75" customHeight="1">
      <c r="A841" s="1"/>
      <c r="B841" s="1"/>
      <c r="C841" s="1"/>
      <c r="D841" s="1"/>
      <c r="E841" s="1"/>
      <c r="F841" s="1"/>
      <c r="G841" s="1"/>
      <c r="H841" s="1"/>
    </row>
    <row r="842" spans="1:8" ht="15.75" customHeight="1">
      <c r="A842" s="1"/>
      <c r="B842" s="1"/>
      <c r="C842" s="1"/>
      <c r="D842" s="1"/>
      <c r="E842" s="1"/>
      <c r="F842" s="1"/>
      <c r="G842" s="1"/>
      <c r="H842" s="1"/>
    </row>
    <row r="843" spans="1:8" ht="15.75" customHeight="1">
      <c r="A843" s="1"/>
      <c r="B843" s="1"/>
      <c r="C843" s="1"/>
      <c r="D843" s="1"/>
      <c r="E843" s="1"/>
      <c r="F843" s="1"/>
      <c r="G843" s="1"/>
      <c r="H843" s="1"/>
    </row>
    <row r="844" spans="1:8" ht="15.75" customHeight="1">
      <c r="A844" s="1"/>
      <c r="B844" s="1"/>
      <c r="C844" s="1"/>
      <c r="D844" s="1"/>
      <c r="E844" s="1"/>
      <c r="F844" s="1"/>
      <c r="G844" s="1"/>
      <c r="H844" s="1"/>
    </row>
    <row r="845" spans="1:8" ht="15.75" customHeight="1">
      <c r="A845" s="1"/>
      <c r="B845" s="1"/>
      <c r="C845" s="1"/>
      <c r="D845" s="1"/>
      <c r="E845" s="1"/>
      <c r="F845" s="1"/>
      <c r="G845" s="1"/>
      <c r="H845" s="1"/>
    </row>
    <row r="846" spans="1:8" ht="15.75" customHeight="1">
      <c r="A846" s="1"/>
      <c r="B846" s="1"/>
      <c r="C846" s="1"/>
      <c r="D846" s="1"/>
      <c r="E846" s="1"/>
      <c r="F846" s="1"/>
      <c r="G846" s="1"/>
      <c r="H846" s="1"/>
    </row>
    <row r="847" spans="1:8" ht="15.75" customHeight="1">
      <c r="A847" s="1"/>
      <c r="B847" s="1"/>
      <c r="C847" s="1"/>
      <c r="D847" s="1"/>
      <c r="E847" s="1"/>
      <c r="F847" s="1"/>
      <c r="G847" s="1"/>
      <c r="H847" s="1"/>
    </row>
    <row r="848" spans="1:8" ht="15.75" customHeight="1">
      <c r="A848" s="1"/>
      <c r="B848" s="1"/>
      <c r="C848" s="1"/>
      <c r="D848" s="1"/>
      <c r="E848" s="1"/>
      <c r="F848" s="1"/>
      <c r="G848" s="1"/>
      <c r="H848" s="1"/>
    </row>
    <row r="849" spans="1:8" ht="15.75" customHeight="1">
      <c r="A849" s="1"/>
      <c r="B849" s="1"/>
      <c r="C849" s="1"/>
      <c r="D849" s="1"/>
      <c r="E849" s="1"/>
      <c r="F849" s="1"/>
      <c r="G849" s="1"/>
      <c r="H849" s="1"/>
    </row>
    <row r="850" spans="1:8" ht="15.75" customHeight="1">
      <c r="A850" s="1"/>
      <c r="B850" s="1"/>
      <c r="C850" s="1"/>
      <c r="D850" s="1"/>
      <c r="E850" s="1"/>
      <c r="F850" s="1"/>
      <c r="G850" s="1"/>
      <c r="H850" s="1"/>
    </row>
    <row r="851" spans="1:8" ht="15.75" customHeight="1">
      <c r="A851" s="1"/>
      <c r="B851" s="1"/>
      <c r="C851" s="1"/>
      <c r="D851" s="1"/>
      <c r="E851" s="1"/>
      <c r="F851" s="1"/>
      <c r="G851" s="1"/>
      <c r="H851" s="1"/>
    </row>
    <row r="852" spans="1:8" ht="15.75" customHeight="1">
      <c r="A852" s="1"/>
      <c r="B852" s="1"/>
      <c r="C852" s="1"/>
      <c r="D852" s="1"/>
      <c r="E852" s="1"/>
      <c r="F852" s="1"/>
      <c r="G852" s="1"/>
      <c r="H852" s="1"/>
    </row>
    <row r="853" spans="1:8" ht="15.75" customHeight="1">
      <c r="A853" s="1"/>
      <c r="B853" s="1"/>
      <c r="C853" s="1"/>
      <c r="D853" s="1"/>
      <c r="E853" s="1"/>
      <c r="F853" s="1"/>
      <c r="G853" s="1"/>
      <c r="H853" s="1"/>
    </row>
    <row r="854" spans="1:8" ht="15.75" customHeight="1">
      <c r="A854" s="1"/>
      <c r="B854" s="1"/>
      <c r="C854" s="1"/>
      <c r="D854" s="1"/>
      <c r="E854" s="1"/>
      <c r="F854" s="1"/>
      <c r="G854" s="1"/>
      <c r="H854" s="1"/>
    </row>
    <row r="855" spans="1:8" ht="15.75" customHeight="1">
      <c r="A855" s="1"/>
      <c r="B855" s="1"/>
      <c r="C855" s="1"/>
      <c r="D855" s="1"/>
      <c r="E855" s="1"/>
      <c r="F855" s="1"/>
      <c r="G855" s="1"/>
      <c r="H855" s="1"/>
    </row>
    <row r="856" spans="1:8" ht="15.75" customHeight="1">
      <c r="A856" s="1"/>
      <c r="B856" s="1"/>
      <c r="C856" s="1"/>
      <c r="D856" s="1"/>
      <c r="E856" s="1"/>
      <c r="F856" s="1"/>
      <c r="G856" s="1"/>
      <c r="H856" s="1"/>
    </row>
    <row r="857" spans="1:8" ht="15.75" customHeight="1">
      <c r="A857" s="1"/>
      <c r="B857" s="1"/>
      <c r="C857" s="1"/>
      <c r="D857" s="1"/>
      <c r="E857" s="1"/>
      <c r="F857" s="1"/>
      <c r="G857" s="1"/>
      <c r="H857" s="1"/>
    </row>
    <row r="858" spans="1:8" ht="15.75" customHeight="1">
      <c r="A858" s="1"/>
      <c r="B858" s="1"/>
      <c r="C858" s="1"/>
      <c r="D858" s="1"/>
      <c r="E858" s="1"/>
      <c r="F858" s="1"/>
      <c r="G858" s="1"/>
      <c r="H858" s="1"/>
    </row>
    <row r="859" spans="1:8" ht="15.75" customHeight="1">
      <c r="A859" s="1"/>
      <c r="B859" s="1"/>
      <c r="C859" s="1"/>
      <c r="D859" s="1"/>
      <c r="E859" s="1"/>
      <c r="F859" s="1"/>
      <c r="G859" s="1"/>
      <c r="H859" s="1"/>
    </row>
    <row r="860" spans="1:8" ht="15.75" customHeight="1">
      <c r="A860" s="1"/>
      <c r="B860" s="1"/>
      <c r="C860" s="1"/>
      <c r="D860" s="1"/>
      <c r="E860" s="1"/>
      <c r="F860" s="1"/>
      <c r="G860" s="1"/>
      <c r="H860" s="1"/>
    </row>
    <row r="861" spans="1:8" ht="15.75" customHeight="1">
      <c r="A861" s="1"/>
      <c r="B861" s="1"/>
      <c r="C861" s="1"/>
      <c r="D861" s="1"/>
      <c r="E861" s="1"/>
      <c r="F861" s="1"/>
      <c r="G861" s="1"/>
      <c r="H861" s="1"/>
    </row>
    <row r="862" spans="1:8" ht="15.75" customHeight="1">
      <c r="A862" s="1"/>
      <c r="B862" s="1"/>
      <c r="C862" s="1"/>
      <c r="D862" s="1"/>
      <c r="E862" s="1"/>
      <c r="F862" s="1"/>
      <c r="G862" s="1"/>
      <c r="H862" s="1"/>
    </row>
    <row r="863" spans="1:8" ht="15.75" customHeight="1">
      <c r="A863" s="1"/>
      <c r="B863" s="1"/>
      <c r="C863" s="1"/>
      <c r="D863" s="1"/>
      <c r="E863" s="1"/>
      <c r="F863" s="1"/>
      <c r="G863" s="1"/>
      <c r="H863" s="1"/>
    </row>
    <row r="864" spans="1:8" ht="15.75" customHeight="1">
      <c r="A864" s="1"/>
      <c r="B864" s="1"/>
      <c r="C864" s="1"/>
      <c r="D864" s="1"/>
      <c r="E864" s="1"/>
      <c r="F864" s="1"/>
      <c r="G864" s="1"/>
      <c r="H864" s="1"/>
    </row>
    <row r="865" spans="1:8" ht="15.75" customHeight="1">
      <c r="A865" s="1"/>
      <c r="B865" s="1"/>
      <c r="C865" s="1"/>
      <c r="D865" s="1"/>
      <c r="E865" s="1"/>
      <c r="F865" s="1"/>
      <c r="G865" s="1"/>
      <c r="H865" s="1"/>
    </row>
    <row r="866" spans="1:8" ht="15.75" customHeight="1">
      <c r="A866" s="1"/>
      <c r="B866" s="1"/>
      <c r="C866" s="1"/>
      <c r="D866" s="1"/>
      <c r="E866" s="1"/>
      <c r="F866" s="1"/>
      <c r="G866" s="1"/>
      <c r="H866" s="1"/>
    </row>
    <row r="867" spans="1:8" ht="15.75" customHeight="1">
      <c r="A867" s="1"/>
      <c r="B867" s="1"/>
      <c r="C867" s="1"/>
      <c r="D867" s="1"/>
      <c r="E867" s="1"/>
      <c r="F867" s="1"/>
      <c r="G867" s="1"/>
      <c r="H867" s="1"/>
    </row>
    <row r="868" spans="1:8" ht="15.75" customHeight="1">
      <c r="A868" s="1"/>
      <c r="B868" s="1"/>
      <c r="C868" s="1"/>
      <c r="D868" s="1"/>
      <c r="E868" s="1"/>
      <c r="F868" s="1"/>
      <c r="G868" s="1"/>
      <c r="H868" s="1"/>
    </row>
    <row r="869" spans="1:8" ht="15.75" customHeight="1">
      <c r="A869" s="1"/>
      <c r="B869" s="1"/>
      <c r="C869" s="1"/>
      <c r="D869" s="1"/>
      <c r="E869" s="1"/>
      <c r="F869" s="1"/>
      <c r="G869" s="1"/>
      <c r="H869" s="1"/>
    </row>
    <row r="870" spans="1:8" ht="15.75" customHeight="1">
      <c r="A870" s="1"/>
      <c r="B870" s="1"/>
      <c r="C870" s="1"/>
      <c r="D870" s="1"/>
      <c r="E870" s="1"/>
      <c r="F870" s="1"/>
      <c r="G870" s="1"/>
      <c r="H870" s="1"/>
    </row>
    <row r="871" spans="1:8" ht="15.75" customHeight="1">
      <c r="A871" s="1"/>
      <c r="B871" s="1"/>
      <c r="C871" s="1"/>
      <c r="D871" s="1"/>
      <c r="E871" s="1"/>
      <c r="F871" s="1"/>
      <c r="G871" s="1"/>
      <c r="H871" s="1"/>
    </row>
    <row r="872" spans="1:8" ht="15.75" customHeight="1">
      <c r="A872" s="1"/>
      <c r="B872" s="1"/>
      <c r="C872" s="1"/>
      <c r="D872" s="1"/>
      <c r="E872" s="1"/>
      <c r="F872" s="1"/>
      <c r="G872" s="1"/>
      <c r="H872" s="1"/>
    </row>
    <row r="873" spans="1:8" ht="15.75" customHeight="1">
      <c r="A873" s="1"/>
      <c r="B873" s="1"/>
      <c r="C873" s="1"/>
      <c r="D873" s="1"/>
      <c r="E873" s="1"/>
      <c r="F873" s="1"/>
      <c r="G873" s="1"/>
      <c r="H873" s="1"/>
    </row>
    <row r="874" spans="1:8" ht="15.75" customHeight="1">
      <c r="A874" s="1"/>
      <c r="B874" s="1"/>
      <c r="C874" s="1"/>
      <c r="D874" s="1"/>
      <c r="E874" s="1"/>
      <c r="F874" s="1"/>
      <c r="G874" s="1"/>
      <c r="H874" s="1"/>
    </row>
    <row r="875" spans="1:8" ht="15.75" customHeight="1">
      <c r="A875" s="1"/>
      <c r="B875" s="1"/>
      <c r="C875" s="1"/>
      <c r="D875" s="1"/>
      <c r="E875" s="1"/>
      <c r="F875" s="1"/>
      <c r="G875" s="1"/>
      <c r="H875" s="1"/>
    </row>
    <row r="876" spans="1:8" ht="15.75" customHeight="1">
      <c r="A876" s="1"/>
      <c r="B876" s="1"/>
      <c r="C876" s="1"/>
      <c r="D876" s="1"/>
      <c r="E876" s="1"/>
      <c r="F876" s="1"/>
      <c r="G876" s="1"/>
      <c r="H876" s="1"/>
    </row>
    <row r="877" spans="1:8" ht="15.75" customHeight="1">
      <c r="A877" s="1"/>
      <c r="B877" s="1"/>
      <c r="C877" s="1"/>
      <c r="D877" s="1"/>
      <c r="E877" s="1"/>
      <c r="F877" s="1"/>
      <c r="G877" s="1"/>
      <c r="H877" s="1"/>
    </row>
    <row r="878" spans="1:8" ht="15.75" customHeight="1">
      <c r="A878" s="1"/>
      <c r="B878" s="1"/>
      <c r="C878" s="1"/>
      <c r="D878" s="1"/>
      <c r="E878" s="1"/>
      <c r="F878" s="1"/>
      <c r="G878" s="1"/>
      <c r="H878" s="1"/>
    </row>
    <row r="879" spans="1:8" ht="15.75" customHeight="1">
      <c r="A879" s="1"/>
      <c r="B879" s="1"/>
      <c r="C879" s="1"/>
      <c r="D879" s="1"/>
      <c r="E879" s="1"/>
      <c r="F879" s="1"/>
      <c r="G879" s="1"/>
      <c r="H879" s="1"/>
    </row>
    <row r="880" spans="1:8" ht="15.75" customHeight="1">
      <c r="A880" s="1"/>
      <c r="B880" s="1"/>
      <c r="C880" s="1"/>
      <c r="D880" s="1"/>
      <c r="E880" s="1"/>
      <c r="F880" s="1"/>
      <c r="G880" s="1"/>
      <c r="H880" s="1"/>
    </row>
    <row r="881" spans="1:8" ht="15.75" customHeight="1">
      <c r="A881" s="1"/>
      <c r="B881" s="1"/>
      <c r="C881" s="1"/>
      <c r="D881" s="1"/>
      <c r="E881" s="1"/>
      <c r="F881" s="1"/>
      <c r="G881" s="1"/>
      <c r="H881" s="1"/>
    </row>
    <row r="882" spans="1:8" ht="15.75" customHeight="1">
      <c r="A882" s="1"/>
      <c r="B882" s="1"/>
      <c r="C882" s="1"/>
      <c r="D882" s="1"/>
      <c r="E882" s="1"/>
      <c r="F882" s="1"/>
      <c r="G882" s="1"/>
      <c r="H882" s="1"/>
    </row>
    <row r="883" spans="1:8" ht="15.75" customHeight="1">
      <c r="A883" s="1"/>
      <c r="B883" s="1"/>
      <c r="C883" s="1"/>
      <c r="D883" s="1"/>
      <c r="E883" s="1"/>
      <c r="F883" s="1"/>
      <c r="G883" s="1"/>
      <c r="H883" s="1"/>
    </row>
    <row r="884" spans="1:8" ht="15.75" customHeight="1">
      <c r="A884" s="1"/>
      <c r="B884" s="1"/>
      <c r="C884" s="1"/>
      <c r="D884" s="1"/>
      <c r="E884" s="1"/>
      <c r="F884" s="1"/>
      <c r="G884" s="1"/>
      <c r="H884" s="1"/>
    </row>
    <row r="885" spans="1:8" ht="15.75" customHeight="1">
      <c r="A885" s="1"/>
      <c r="B885" s="1"/>
      <c r="C885" s="1"/>
      <c r="D885" s="1"/>
      <c r="E885" s="1"/>
      <c r="F885" s="1"/>
      <c r="G885" s="1"/>
      <c r="H885" s="1"/>
    </row>
    <row r="886" spans="1:8" ht="15.75" customHeight="1">
      <c r="A886" s="1"/>
      <c r="B886" s="1"/>
      <c r="C886" s="1"/>
      <c r="D886" s="1"/>
      <c r="E886" s="1"/>
      <c r="F886" s="1"/>
      <c r="G886" s="1"/>
      <c r="H886" s="1"/>
    </row>
    <row r="887" spans="1:8" ht="15.75" customHeight="1">
      <c r="A887" s="1"/>
      <c r="B887" s="1"/>
      <c r="C887" s="1"/>
      <c r="D887" s="1"/>
      <c r="E887" s="1"/>
      <c r="F887" s="1"/>
      <c r="G887" s="1"/>
      <c r="H887" s="1"/>
    </row>
    <row r="888" spans="1:8" ht="15.75" customHeight="1">
      <c r="A888" s="1"/>
      <c r="B888" s="1"/>
      <c r="C888" s="1"/>
      <c r="D888" s="1"/>
      <c r="E888" s="1"/>
      <c r="F888" s="1"/>
      <c r="G888" s="1"/>
      <c r="H888" s="1"/>
    </row>
    <row r="889" spans="1:8" ht="15.75" customHeight="1">
      <c r="A889" s="1"/>
      <c r="B889" s="1"/>
      <c r="C889" s="1"/>
      <c r="D889" s="1"/>
      <c r="E889" s="1"/>
      <c r="F889" s="1"/>
      <c r="G889" s="1"/>
      <c r="H889" s="1"/>
    </row>
    <row r="890" spans="1:8" ht="15.75" customHeight="1">
      <c r="A890" s="1"/>
      <c r="B890" s="1"/>
      <c r="C890" s="1"/>
      <c r="D890" s="1"/>
      <c r="E890" s="1"/>
      <c r="F890" s="1"/>
      <c r="G890" s="1"/>
      <c r="H890" s="1"/>
    </row>
    <row r="891" spans="1:8" ht="15.75" customHeight="1">
      <c r="A891" s="1"/>
      <c r="B891" s="1"/>
      <c r="C891" s="1"/>
      <c r="D891" s="1"/>
      <c r="E891" s="1"/>
      <c r="F891" s="1"/>
      <c r="G891" s="1"/>
      <c r="H891" s="1"/>
    </row>
    <row r="892" spans="1:8" ht="15.75" customHeight="1">
      <c r="A892" s="1"/>
      <c r="B892" s="1"/>
      <c r="C892" s="1"/>
      <c r="D892" s="1"/>
      <c r="E892" s="1"/>
      <c r="F892" s="1"/>
      <c r="G892" s="1"/>
      <c r="H892" s="1"/>
    </row>
    <row r="893" spans="1:8" ht="15.75" customHeight="1">
      <c r="A893" s="1"/>
      <c r="B893" s="1"/>
      <c r="C893" s="1"/>
      <c r="D893" s="1"/>
      <c r="E893" s="1"/>
      <c r="F893" s="1"/>
      <c r="G893" s="1"/>
      <c r="H893" s="1"/>
    </row>
    <row r="894" spans="1:8" ht="15.75" customHeight="1">
      <c r="A894" s="1"/>
      <c r="B894" s="1"/>
      <c r="C894" s="1"/>
      <c r="D894" s="1"/>
      <c r="E894" s="1"/>
      <c r="F894" s="1"/>
      <c r="G894" s="1"/>
      <c r="H894" s="1"/>
    </row>
    <row r="895" spans="1:8" ht="15.75" customHeight="1">
      <c r="A895" s="1"/>
      <c r="B895" s="1"/>
      <c r="C895" s="1"/>
      <c r="D895" s="1"/>
      <c r="E895" s="1"/>
      <c r="F895" s="1"/>
      <c r="G895" s="1"/>
      <c r="H895" s="1"/>
    </row>
    <row r="896" spans="1:8" ht="15.75" customHeight="1">
      <c r="A896" s="1"/>
      <c r="B896" s="1"/>
      <c r="C896" s="1"/>
      <c r="D896" s="1"/>
      <c r="E896" s="1"/>
      <c r="F896" s="1"/>
      <c r="G896" s="1"/>
      <c r="H896" s="1"/>
    </row>
    <row r="897" spans="1:8" ht="15.75" customHeight="1">
      <c r="A897" s="1"/>
      <c r="B897" s="1"/>
      <c r="C897" s="1"/>
      <c r="D897" s="1"/>
      <c r="E897" s="1"/>
      <c r="F897" s="1"/>
      <c r="G897" s="1"/>
      <c r="H897" s="1"/>
    </row>
    <row r="898" spans="1:8" ht="15.75" customHeight="1">
      <c r="A898" s="1"/>
      <c r="B898" s="1"/>
      <c r="C898" s="1"/>
      <c r="D898" s="1"/>
      <c r="E898" s="1"/>
      <c r="F898" s="1"/>
      <c r="G898" s="1"/>
      <c r="H898" s="1"/>
    </row>
    <row r="899" spans="1:8" ht="15.75" customHeight="1">
      <c r="A899" s="1"/>
      <c r="B899" s="1"/>
      <c r="C899" s="1"/>
      <c r="D899" s="1"/>
      <c r="E899" s="1"/>
      <c r="F899" s="1"/>
      <c r="G899" s="1"/>
      <c r="H899" s="1"/>
    </row>
    <row r="900" spans="1:8" ht="15.75" customHeight="1">
      <c r="A900" s="1"/>
      <c r="B900" s="1"/>
      <c r="C900" s="1"/>
      <c r="D900" s="1"/>
      <c r="E900" s="1"/>
      <c r="F900" s="1"/>
      <c r="G900" s="1"/>
      <c r="H900" s="1"/>
    </row>
    <row r="901" spans="1:8" ht="15.75" customHeight="1">
      <c r="A901" s="1"/>
      <c r="B901" s="1"/>
      <c r="C901" s="1"/>
      <c r="D901" s="1"/>
      <c r="E901" s="1"/>
      <c r="F901" s="1"/>
      <c r="G901" s="1"/>
      <c r="H901" s="1"/>
    </row>
    <row r="902" spans="1:8" ht="15.75" customHeight="1">
      <c r="A902" s="1"/>
      <c r="B902" s="1"/>
      <c r="C902" s="1"/>
      <c r="D902" s="1"/>
      <c r="E902" s="1"/>
      <c r="F902" s="1"/>
      <c r="G902" s="1"/>
      <c r="H902" s="1"/>
    </row>
    <row r="903" spans="1:8" ht="15.75" customHeight="1">
      <c r="A903" s="1"/>
      <c r="B903" s="1"/>
      <c r="C903" s="1"/>
      <c r="D903" s="1"/>
      <c r="E903" s="1"/>
      <c r="F903" s="1"/>
      <c r="G903" s="1"/>
      <c r="H903" s="1"/>
    </row>
    <row r="904" spans="1:8" ht="15.75" customHeight="1">
      <c r="A904" s="1"/>
      <c r="B904" s="1"/>
      <c r="C904" s="1"/>
      <c r="D904" s="1"/>
      <c r="E904" s="1"/>
      <c r="F904" s="1"/>
      <c r="G904" s="1"/>
      <c r="H904" s="1"/>
    </row>
    <row r="905" spans="1:8" ht="15.75" customHeight="1">
      <c r="A905" s="1"/>
      <c r="B905" s="1"/>
      <c r="C905" s="1"/>
      <c r="D905" s="1"/>
      <c r="E905" s="1"/>
      <c r="F905" s="1"/>
      <c r="G905" s="1"/>
      <c r="H905" s="1"/>
    </row>
    <row r="906" spans="1:8" ht="15.75" customHeight="1">
      <c r="A906" s="1"/>
      <c r="B906" s="1"/>
      <c r="C906" s="1"/>
      <c r="D906" s="1"/>
      <c r="E906" s="1"/>
      <c r="F906" s="1"/>
      <c r="G906" s="1"/>
      <c r="H906" s="1"/>
    </row>
    <row r="907" spans="1:8" ht="15.75" customHeight="1">
      <c r="A907" s="1"/>
      <c r="B907" s="1"/>
      <c r="C907" s="1"/>
      <c r="D907" s="1"/>
      <c r="E907" s="1"/>
      <c r="F907" s="1"/>
      <c r="G907" s="1"/>
      <c r="H907" s="1"/>
    </row>
    <row r="908" spans="1:8" ht="15.75" customHeight="1">
      <c r="A908" s="1"/>
      <c r="B908" s="1"/>
      <c r="C908" s="1"/>
      <c r="D908" s="1"/>
      <c r="E908" s="1"/>
      <c r="F908" s="1"/>
      <c r="G908" s="1"/>
      <c r="H908" s="1"/>
    </row>
    <row r="909" spans="1:8" ht="15.75" customHeight="1">
      <c r="A909" s="1"/>
      <c r="B909" s="1"/>
      <c r="C909" s="1"/>
      <c r="D909" s="1"/>
      <c r="E909" s="1"/>
      <c r="F909" s="1"/>
      <c r="G909" s="1"/>
      <c r="H909" s="1"/>
    </row>
    <row r="910" spans="1:8" ht="15.75" customHeight="1">
      <c r="A910" s="1"/>
      <c r="B910" s="1"/>
      <c r="C910" s="1"/>
      <c r="D910" s="1"/>
      <c r="E910" s="1"/>
      <c r="F910" s="1"/>
      <c r="G910" s="1"/>
      <c r="H910" s="1"/>
    </row>
    <row r="911" spans="1:8" ht="15.75" customHeight="1">
      <c r="A911" s="1"/>
      <c r="B911" s="1"/>
      <c r="C911" s="1"/>
      <c r="D911" s="1"/>
      <c r="E911" s="1"/>
      <c r="F911" s="1"/>
      <c r="G911" s="1"/>
      <c r="H911" s="1"/>
    </row>
    <row r="912" spans="1:8" ht="15.75" customHeight="1">
      <c r="A912" s="1"/>
      <c r="B912" s="1"/>
      <c r="C912" s="1"/>
      <c r="D912" s="1"/>
      <c r="E912" s="1"/>
      <c r="F912" s="1"/>
      <c r="G912" s="1"/>
      <c r="H912" s="1"/>
    </row>
    <row r="913" spans="1:8" ht="15.75" customHeight="1">
      <c r="A913" s="1"/>
      <c r="B913" s="1"/>
      <c r="C913" s="1"/>
      <c r="D913" s="1"/>
      <c r="E913" s="1"/>
      <c r="F913" s="1"/>
      <c r="G913" s="1"/>
      <c r="H913" s="1"/>
    </row>
    <row r="914" spans="1:8" ht="15.75" customHeight="1">
      <c r="A914" s="1"/>
      <c r="B914" s="1"/>
      <c r="C914" s="1"/>
      <c r="D914" s="1"/>
      <c r="E914" s="1"/>
      <c r="F914" s="1"/>
      <c r="G914" s="1"/>
      <c r="H914" s="1"/>
    </row>
    <row r="915" spans="1:8" ht="15.75" customHeight="1">
      <c r="A915" s="1"/>
      <c r="B915" s="1"/>
      <c r="C915" s="1"/>
      <c r="D915" s="1"/>
      <c r="E915" s="1"/>
      <c r="F915" s="1"/>
      <c r="G915" s="1"/>
      <c r="H915" s="1"/>
    </row>
    <row r="916" spans="1:8" ht="15.75" customHeight="1">
      <c r="A916" s="1"/>
      <c r="B916" s="1"/>
      <c r="C916" s="1"/>
      <c r="D916" s="1"/>
      <c r="E916" s="1"/>
      <c r="F916" s="1"/>
      <c r="G916" s="1"/>
      <c r="H916" s="1"/>
    </row>
    <row r="917" spans="1:8" ht="15.75" customHeight="1">
      <c r="A917" s="1"/>
      <c r="B917" s="1"/>
      <c r="C917" s="1"/>
      <c r="D917" s="1"/>
      <c r="E917" s="1"/>
      <c r="F917" s="1"/>
      <c r="G917" s="1"/>
      <c r="H917" s="1"/>
    </row>
    <row r="918" spans="1:8" ht="15.75" customHeight="1">
      <c r="A918" s="1"/>
      <c r="B918" s="1"/>
      <c r="C918" s="1"/>
      <c r="D918" s="1"/>
      <c r="E918" s="1"/>
      <c r="F918" s="1"/>
      <c r="G918" s="1"/>
      <c r="H918" s="1"/>
    </row>
    <row r="919" spans="1:8" ht="15.75" customHeight="1">
      <c r="A919" s="1"/>
      <c r="B919" s="1"/>
      <c r="C919" s="1"/>
      <c r="D919" s="1"/>
      <c r="E919" s="1"/>
      <c r="F919" s="1"/>
      <c r="G919" s="1"/>
      <c r="H919" s="1"/>
    </row>
    <row r="920" spans="1:8" ht="15.75" customHeight="1">
      <c r="A920" s="1"/>
      <c r="B920" s="1"/>
      <c r="C920" s="1"/>
      <c r="D920" s="1"/>
      <c r="E920" s="1"/>
      <c r="F920" s="1"/>
      <c r="G920" s="1"/>
      <c r="H920" s="1"/>
    </row>
    <row r="921" spans="1:8" ht="15.75" customHeight="1">
      <c r="A921" s="1"/>
      <c r="B921" s="1"/>
      <c r="C921" s="1"/>
      <c r="D921" s="1"/>
      <c r="E921" s="1"/>
      <c r="F921" s="1"/>
      <c r="G921" s="1"/>
      <c r="H921" s="1"/>
    </row>
    <row r="922" spans="1:8" ht="15.75" customHeight="1">
      <c r="A922" s="1"/>
      <c r="B922" s="1"/>
      <c r="C922" s="1"/>
      <c r="D922" s="1"/>
      <c r="E922" s="1"/>
      <c r="F922" s="1"/>
      <c r="G922" s="1"/>
      <c r="H922" s="1"/>
    </row>
    <row r="923" spans="1:8" ht="15.75" customHeight="1">
      <c r="A923" s="1"/>
      <c r="B923" s="1"/>
      <c r="C923" s="1"/>
      <c r="D923" s="1"/>
      <c r="E923" s="1"/>
      <c r="F923" s="1"/>
      <c r="G923" s="1"/>
      <c r="H923" s="1"/>
    </row>
    <row r="924" spans="1:8" ht="15.75" customHeight="1">
      <c r="A924" s="1"/>
      <c r="B924" s="1"/>
      <c r="C924" s="1"/>
      <c r="D924" s="1"/>
      <c r="E924" s="1"/>
      <c r="F924" s="1"/>
      <c r="G924" s="1"/>
      <c r="H924" s="1"/>
    </row>
    <row r="925" spans="1:8" ht="15.75" customHeight="1">
      <c r="A925" s="1"/>
      <c r="B925" s="1"/>
      <c r="C925" s="1"/>
      <c r="D925" s="1"/>
      <c r="E925" s="1"/>
      <c r="F925" s="1"/>
      <c r="G925" s="1"/>
      <c r="H925" s="1"/>
    </row>
    <row r="926" spans="1:8" ht="15.75" customHeight="1">
      <c r="A926" s="1"/>
      <c r="B926" s="1"/>
      <c r="C926" s="1"/>
      <c r="D926" s="1"/>
      <c r="E926" s="1"/>
      <c r="F926" s="1"/>
      <c r="G926" s="1"/>
      <c r="H926" s="1"/>
    </row>
    <row r="927" spans="1:8" ht="15.75" customHeight="1">
      <c r="A927" s="1"/>
      <c r="B927" s="1"/>
      <c r="C927" s="1"/>
      <c r="D927" s="1"/>
      <c r="E927" s="1"/>
      <c r="F927" s="1"/>
      <c r="G927" s="1"/>
      <c r="H927" s="1"/>
    </row>
    <row r="928" spans="1:8" ht="15.75" customHeight="1">
      <c r="A928" s="1"/>
      <c r="B928" s="1"/>
      <c r="C928" s="1"/>
      <c r="D928" s="1"/>
      <c r="E928" s="1"/>
      <c r="F928" s="1"/>
      <c r="G928" s="1"/>
      <c r="H928" s="1"/>
    </row>
    <row r="929" spans="1:8" ht="15.75" customHeight="1">
      <c r="A929" s="1"/>
      <c r="B929" s="1"/>
      <c r="C929" s="1"/>
      <c r="D929" s="1"/>
      <c r="E929" s="1"/>
      <c r="F929" s="1"/>
      <c r="G929" s="1"/>
      <c r="H929" s="1"/>
    </row>
    <row r="930" spans="1:8" ht="15.75" customHeight="1">
      <c r="A930" s="1"/>
      <c r="B930" s="1"/>
      <c r="C930" s="1"/>
      <c r="D930" s="1"/>
      <c r="E930" s="1"/>
      <c r="F930" s="1"/>
      <c r="G930" s="1"/>
      <c r="H930" s="1"/>
    </row>
    <row r="931" spans="1:8" ht="15.75" customHeight="1">
      <c r="A931" s="1"/>
      <c r="B931" s="1"/>
      <c r="C931" s="1"/>
      <c r="D931" s="1"/>
      <c r="E931" s="1"/>
      <c r="F931" s="1"/>
      <c r="G931" s="1"/>
      <c r="H931" s="1"/>
    </row>
    <row r="932" spans="1:8" ht="15.75" customHeight="1">
      <c r="A932" s="1"/>
      <c r="B932" s="1"/>
      <c r="C932" s="1"/>
      <c r="D932" s="1"/>
      <c r="E932" s="1"/>
      <c r="F932" s="1"/>
      <c r="G932" s="1"/>
      <c r="H932" s="1"/>
    </row>
    <row r="933" spans="1:8" ht="15.75" customHeight="1">
      <c r="A933" s="1"/>
      <c r="B933" s="1"/>
      <c r="C933" s="1"/>
      <c r="D933" s="1"/>
      <c r="E933" s="1"/>
      <c r="F933" s="1"/>
      <c r="G933" s="1"/>
      <c r="H933" s="1"/>
    </row>
    <row r="934" spans="1:8" ht="15.75" customHeight="1">
      <c r="A934" s="1"/>
      <c r="B934" s="1"/>
      <c r="C934" s="1"/>
      <c r="D934" s="1"/>
      <c r="E934" s="1"/>
      <c r="F934" s="1"/>
      <c r="G934" s="1"/>
      <c r="H934" s="1"/>
    </row>
    <row r="935" spans="1:8" ht="15.75" customHeight="1">
      <c r="A935" s="1"/>
      <c r="B935" s="1"/>
      <c r="C935" s="1"/>
      <c r="D935" s="1"/>
      <c r="E935" s="1"/>
      <c r="F935" s="1"/>
      <c r="G935" s="1"/>
      <c r="H935" s="1"/>
    </row>
    <row r="936" spans="1:8" ht="15.75" customHeight="1">
      <c r="A936" s="1"/>
      <c r="B936" s="1"/>
      <c r="C936" s="1"/>
      <c r="D936" s="1"/>
      <c r="E936" s="1"/>
      <c r="F936" s="1"/>
      <c r="G936" s="1"/>
      <c r="H936" s="1"/>
    </row>
    <row r="937" spans="1:8" ht="15.75" customHeight="1">
      <c r="A937" s="1"/>
      <c r="B937" s="1"/>
      <c r="C937" s="1"/>
      <c r="D937" s="1"/>
      <c r="E937" s="1"/>
      <c r="F937" s="1"/>
      <c r="G937" s="1"/>
      <c r="H937" s="1"/>
    </row>
    <row r="938" spans="1:8" ht="15.75" customHeight="1">
      <c r="A938" s="1"/>
      <c r="B938" s="1"/>
      <c r="C938" s="1"/>
      <c r="D938" s="1"/>
      <c r="E938" s="1"/>
      <c r="F938" s="1"/>
      <c r="G938" s="1"/>
      <c r="H938" s="1"/>
    </row>
    <row r="939" spans="1:8" ht="15.75" customHeight="1">
      <c r="A939" s="1"/>
      <c r="B939" s="1"/>
      <c r="C939" s="1"/>
      <c r="D939" s="1"/>
      <c r="E939" s="1"/>
      <c r="F939" s="1"/>
      <c r="G939" s="1"/>
      <c r="H939" s="1"/>
    </row>
    <row r="940" spans="1:8" ht="15.75" customHeight="1">
      <c r="A940" s="1"/>
      <c r="B940" s="1"/>
      <c r="C940" s="1"/>
      <c r="D940" s="1"/>
      <c r="E940" s="1"/>
      <c r="F940" s="1"/>
      <c r="G940" s="1"/>
      <c r="H940" s="1"/>
    </row>
    <row r="941" spans="1:8" ht="15.75" customHeight="1">
      <c r="A941" s="1"/>
      <c r="B941" s="1"/>
      <c r="C941" s="1"/>
      <c r="D941" s="1"/>
      <c r="E941" s="1"/>
      <c r="F941" s="1"/>
      <c r="G941" s="1"/>
      <c r="H941" s="1"/>
    </row>
    <row r="942" spans="1:8" ht="15.75" customHeight="1">
      <c r="A942" s="1"/>
      <c r="B942" s="1"/>
      <c r="C942" s="1"/>
      <c r="D942" s="1"/>
      <c r="E942" s="1"/>
      <c r="F942" s="1"/>
      <c r="G942" s="1"/>
      <c r="H942" s="1"/>
    </row>
    <row r="943" spans="1:8" ht="15.75" customHeight="1">
      <c r="A943" s="1"/>
      <c r="B943" s="1"/>
      <c r="C943" s="1"/>
      <c r="D943" s="1"/>
      <c r="E943" s="1"/>
      <c r="F943" s="1"/>
      <c r="G943" s="1"/>
      <c r="H943" s="1"/>
    </row>
    <row r="944" spans="1:8" ht="15.75" customHeight="1">
      <c r="A944" s="1"/>
      <c r="B944" s="1"/>
      <c r="C944" s="1"/>
      <c r="D944" s="1"/>
      <c r="E944" s="1"/>
      <c r="F944" s="1"/>
      <c r="G944" s="1"/>
      <c r="H944" s="1"/>
    </row>
    <row r="945" spans="1:8" ht="15.75" customHeight="1">
      <c r="A945" s="1"/>
      <c r="B945" s="1"/>
      <c r="C945" s="1"/>
      <c r="D945" s="1"/>
      <c r="E945" s="1"/>
      <c r="F945" s="1"/>
      <c r="G945" s="1"/>
      <c r="H945" s="1"/>
    </row>
    <row r="946" spans="1:8" ht="15.75" customHeight="1">
      <c r="A946" s="1"/>
      <c r="B946" s="1"/>
      <c r="C946" s="1"/>
      <c r="D946" s="1"/>
      <c r="E946" s="1"/>
      <c r="F946" s="1"/>
      <c r="G946" s="1"/>
      <c r="H946" s="1"/>
    </row>
    <row r="947" spans="1:8" ht="15.75" customHeight="1">
      <c r="A947" s="1"/>
      <c r="B947" s="1"/>
      <c r="C947" s="1"/>
      <c r="D947" s="1"/>
      <c r="E947" s="1"/>
      <c r="F947" s="1"/>
      <c r="G947" s="1"/>
      <c r="H947" s="1"/>
    </row>
    <row r="948" spans="1:8" ht="15.75" customHeight="1">
      <c r="A948" s="1"/>
      <c r="B948" s="1"/>
      <c r="C948" s="1"/>
      <c r="D948" s="1"/>
      <c r="E948" s="1"/>
      <c r="F948" s="1"/>
      <c r="G948" s="1"/>
      <c r="H948" s="1"/>
    </row>
    <row r="949" spans="1:8" ht="15.75" customHeight="1">
      <c r="A949" s="1"/>
      <c r="B949" s="1"/>
      <c r="C949" s="1"/>
      <c r="D949" s="1"/>
      <c r="E949" s="1"/>
      <c r="F949" s="1"/>
      <c r="G949" s="1"/>
      <c r="H949" s="1"/>
    </row>
    <row r="950" spans="1:8" ht="15.75" customHeight="1">
      <c r="A950" s="1"/>
      <c r="B950" s="1"/>
      <c r="C950" s="1"/>
      <c r="D950" s="1"/>
      <c r="E950" s="1"/>
      <c r="F950" s="1"/>
      <c r="G950" s="1"/>
      <c r="H950" s="1"/>
    </row>
    <row r="951" spans="1:8" ht="15.75" customHeight="1">
      <c r="A951" s="1"/>
      <c r="B951" s="1"/>
      <c r="C951" s="1"/>
      <c r="D951" s="1"/>
      <c r="E951" s="1"/>
      <c r="F951" s="1"/>
      <c r="G951" s="1"/>
      <c r="H951" s="1"/>
    </row>
    <row r="952" spans="1:8" ht="15.75" customHeight="1">
      <c r="A952" s="1"/>
      <c r="B952" s="1"/>
      <c r="C952" s="1"/>
      <c r="D952" s="1"/>
      <c r="E952" s="1"/>
      <c r="F952" s="1"/>
      <c r="G952" s="1"/>
      <c r="H952" s="1"/>
    </row>
    <row r="953" spans="1:8" ht="15.75" customHeight="1">
      <c r="A953" s="1"/>
      <c r="B953" s="1"/>
      <c r="C953" s="1"/>
      <c r="D953" s="1"/>
      <c r="E953" s="1"/>
      <c r="F953" s="1"/>
      <c r="G953" s="1"/>
      <c r="H953" s="1"/>
    </row>
    <row r="954" spans="1:8" ht="15.75" customHeight="1">
      <c r="A954" s="1"/>
      <c r="B954" s="1"/>
      <c r="C954" s="1"/>
      <c r="D954" s="1"/>
      <c r="E954" s="1"/>
      <c r="F954" s="1"/>
      <c r="G954" s="1"/>
      <c r="H954" s="1"/>
    </row>
    <row r="955" spans="1:8" ht="15.75" customHeight="1">
      <c r="A955" s="1"/>
      <c r="B955" s="1"/>
      <c r="C955" s="1"/>
      <c r="D955" s="1"/>
      <c r="E955" s="1"/>
      <c r="F955" s="1"/>
      <c r="G955" s="1"/>
      <c r="H955" s="1"/>
    </row>
    <row r="956" spans="1:8" ht="15.75" customHeight="1">
      <c r="A956" s="1"/>
      <c r="B956" s="1"/>
      <c r="C956" s="1"/>
      <c r="D956" s="1"/>
      <c r="E956" s="1"/>
      <c r="F956" s="1"/>
      <c r="G956" s="1"/>
      <c r="H956" s="1"/>
    </row>
    <row r="957" spans="1:8" ht="15.75" customHeight="1">
      <c r="A957" s="1"/>
      <c r="B957" s="1"/>
      <c r="C957" s="1"/>
      <c r="D957" s="1"/>
      <c r="E957" s="1"/>
      <c r="F957" s="1"/>
      <c r="G957" s="1"/>
      <c r="H957" s="1"/>
    </row>
    <row r="958" spans="1:8" ht="15.75" customHeight="1">
      <c r="A958" s="1"/>
      <c r="B958" s="1"/>
      <c r="C958" s="1"/>
      <c r="D958" s="1"/>
      <c r="E958" s="1"/>
      <c r="F958" s="1"/>
      <c r="G958" s="1"/>
      <c r="H958" s="1"/>
    </row>
    <row r="959" spans="1:8" ht="15.75" customHeight="1">
      <c r="A959" s="1"/>
      <c r="B959" s="1"/>
      <c r="C959" s="1"/>
      <c r="D959" s="1"/>
      <c r="E959" s="1"/>
      <c r="F959" s="1"/>
      <c r="G959" s="1"/>
      <c r="H959" s="1"/>
    </row>
    <row r="960" spans="1:8" ht="15.75" customHeight="1">
      <c r="A960" s="1"/>
      <c r="B960" s="1"/>
      <c r="C960" s="1"/>
      <c r="D960" s="1"/>
      <c r="E960" s="1"/>
      <c r="F960" s="1"/>
      <c r="G960" s="1"/>
      <c r="H960" s="1"/>
    </row>
    <row r="961" spans="1:8" ht="15.75" customHeight="1">
      <c r="A961" s="1"/>
      <c r="B961" s="1"/>
      <c r="C961" s="1"/>
      <c r="D961" s="1"/>
      <c r="E961" s="1"/>
      <c r="F961" s="1"/>
      <c r="G961" s="1"/>
      <c r="H961" s="1"/>
    </row>
    <row r="962" spans="1:8" ht="15.75" customHeight="1">
      <c r="A962" s="1"/>
      <c r="B962" s="1"/>
      <c r="C962" s="1"/>
      <c r="D962" s="1"/>
      <c r="E962" s="1"/>
      <c r="F962" s="1"/>
      <c r="G962" s="1"/>
      <c r="H962" s="1"/>
    </row>
    <row r="963" spans="1:8" ht="15.75" customHeight="1">
      <c r="A963" s="1"/>
      <c r="B963" s="1"/>
      <c r="C963" s="1"/>
      <c r="D963" s="1"/>
      <c r="E963" s="1"/>
      <c r="F963" s="1"/>
      <c r="G963" s="1"/>
      <c r="H963" s="1"/>
    </row>
    <row r="964" spans="1:8" ht="15.75" customHeight="1">
      <c r="A964" s="1"/>
      <c r="B964" s="1"/>
      <c r="C964" s="1"/>
      <c r="D964" s="1"/>
      <c r="E964" s="1"/>
      <c r="F964" s="1"/>
      <c r="G964" s="1"/>
      <c r="H964" s="1"/>
    </row>
    <row r="965" spans="1:8" ht="15.75" customHeight="1">
      <c r="A965" s="1"/>
      <c r="B965" s="1"/>
      <c r="C965" s="1"/>
      <c r="D965" s="1"/>
      <c r="E965" s="1"/>
      <c r="F965" s="1"/>
      <c r="G965" s="1"/>
      <c r="H965" s="1"/>
    </row>
    <row r="966" spans="1:8" ht="15.75" customHeight="1">
      <c r="A966" s="1"/>
      <c r="B966" s="1"/>
      <c r="C966" s="1"/>
      <c r="D966" s="1"/>
      <c r="E966" s="1"/>
      <c r="F966" s="1"/>
      <c r="G966" s="1"/>
      <c r="H966" s="1"/>
    </row>
    <row r="967" spans="1:8" ht="15.75" customHeight="1">
      <c r="A967" s="1"/>
      <c r="B967" s="1"/>
      <c r="C967" s="1"/>
      <c r="D967" s="1"/>
      <c r="E967" s="1"/>
      <c r="F967" s="1"/>
      <c r="G967" s="1"/>
      <c r="H967" s="1"/>
    </row>
    <row r="968" spans="1:8" ht="15.75" customHeight="1">
      <c r="A968" s="1"/>
      <c r="B968" s="1"/>
      <c r="C968" s="1"/>
      <c r="D968" s="1"/>
      <c r="E968" s="1"/>
      <c r="F968" s="1"/>
      <c r="G968" s="1"/>
      <c r="H968" s="1"/>
    </row>
    <row r="969" spans="1:8" ht="15.75" customHeight="1">
      <c r="A969" s="1"/>
      <c r="B969" s="1"/>
      <c r="C969" s="1"/>
      <c r="D969" s="1"/>
      <c r="E969" s="1"/>
      <c r="F969" s="1"/>
      <c r="G969" s="1"/>
      <c r="H969" s="1"/>
    </row>
    <row r="970" spans="1:8" ht="15.75" customHeight="1">
      <c r="A970" s="1"/>
      <c r="B970" s="1"/>
      <c r="C970" s="1"/>
      <c r="D970" s="1"/>
      <c r="E970" s="1"/>
      <c r="F970" s="1"/>
      <c r="G970" s="1"/>
      <c r="H970" s="1"/>
    </row>
    <row r="971" spans="1:8" ht="15.75" customHeight="1">
      <c r="A971" s="1"/>
      <c r="B971" s="1"/>
      <c r="C971" s="1"/>
      <c r="D971" s="1"/>
      <c r="E971" s="1"/>
      <c r="F971" s="1"/>
      <c r="G971" s="1"/>
      <c r="H971" s="1"/>
    </row>
    <row r="972" spans="1:8" ht="15.75" customHeight="1">
      <c r="A972" s="1"/>
      <c r="B972" s="1"/>
      <c r="C972" s="1"/>
      <c r="D972" s="1"/>
      <c r="E972" s="1"/>
      <c r="F972" s="1"/>
      <c r="G972" s="1"/>
      <c r="H972" s="1"/>
    </row>
    <row r="973" spans="1:8" ht="15.75" customHeight="1">
      <c r="A973" s="1"/>
      <c r="B973" s="1"/>
      <c r="C973" s="1"/>
      <c r="D973" s="1"/>
      <c r="E973" s="1"/>
      <c r="F973" s="1"/>
      <c r="G973" s="1"/>
      <c r="H973" s="1"/>
    </row>
    <row r="974" spans="1:8" ht="15.75" customHeight="1">
      <c r="A974" s="1"/>
      <c r="B974" s="1"/>
      <c r="C974" s="1"/>
      <c r="D974" s="1"/>
      <c r="E974" s="1"/>
      <c r="F974" s="1"/>
      <c r="G974" s="1"/>
      <c r="H974" s="1"/>
    </row>
    <row r="975" spans="1:8" ht="15.75" customHeight="1">
      <c r="A975" s="1"/>
      <c r="B975" s="1"/>
      <c r="C975" s="1"/>
      <c r="D975" s="1"/>
      <c r="E975" s="1"/>
      <c r="F975" s="1"/>
      <c r="G975" s="1"/>
      <c r="H975" s="1"/>
    </row>
    <row r="976" spans="1:8" ht="15.75" customHeight="1">
      <c r="A976" s="1"/>
      <c r="B976" s="1"/>
      <c r="C976" s="1"/>
      <c r="D976" s="1"/>
      <c r="E976" s="1"/>
      <c r="F976" s="1"/>
      <c r="G976" s="1"/>
      <c r="H976" s="1"/>
    </row>
    <row r="977" spans="1:8" ht="15.75" customHeight="1">
      <c r="A977" s="1"/>
      <c r="B977" s="1"/>
      <c r="C977" s="1"/>
      <c r="D977" s="1"/>
      <c r="E977" s="1"/>
      <c r="F977" s="1"/>
      <c r="G977" s="1"/>
      <c r="H977" s="1"/>
    </row>
    <row r="978" spans="1:8" ht="15.75" customHeight="1">
      <c r="A978" s="1"/>
      <c r="B978" s="1"/>
      <c r="C978" s="1"/>
      <c r="D978" s="1"/>
      <c r="E978" s="1"/>
      <c r="F978" s="1"/>
      <c r="G978" s="1"/>
      <c r="H978" s="1"/>
    </row>
    <row r="979" spans="1:8" ht="15.75" customHeight="1">
      <c r="A979" s="1"/>
      <c r="B979" s="1"/>
      <c r="C979" s="1"/>
      <c r="D979" s="1"/>
      <c r="E979" s="1"/>
      <c r="F979" s="1"/>
      <c r="G979" s="1"/>
      <c r="H979" s="1"/>
    </row>
    <row r="980" spans="1:8" ht="15.75" customHeight="1">
      <c r="A980" s="1"/>
      <c r="B980" s="1"/>
      <c r="C980" s="1"/>
      <c r="D980" s="1"/>
      <c r="E980" s="1"/>
      <c r="F980" s="1"/>
      <c r="G980" s="1"/>
      <c r="H980" s="1"/>
    </row>
    <row r="981" spans="1:8" ht="15.75" customHeight="1">
      <c r="A981" s="1"/>
      <c r="B981" s="1"/>
      <c r="C981" s="1"/>
      <c r="D981" s="1"/>
      <c r="E981" s="1"/>
      <c r="F981" s="1"/>
      <c r="G981" s="1"/>
      <c r="H981" s="1"/>
    </row>
    <row r="982" spans="1:8" ht="15.75" customHeight="1">
      <c r="A982" s="1"/>
      <c r="B982" s="1"/>
      <c r="C982" s="1"/>
      <c r="D982" s="1"/>
      <c r="E982" s="1"/>
      <c r="F982" s="1"/>
      <c r="G982" s="1"/>
      <c r="H982" s="1"/>
    </row>
    <row r="983" spans="1:8" ht="15.75" customHeight="1">
      <c r="A983" s="1"/>
      <c r="B983" s="1"/>
      <c r="C983" s="1"/>
      <c r="D983" s="1"/>
      <c r="E983" s="1"/>
      <c r="F983" s="1"/>
      <c r="G983" s="1"/>
      <c r="H983" s="1"/>
    </row>
    <row r="984" spans="1:8" ht="15.75" customHeight="1">
      <c r="A984" s="1"/>
      <c r="B984" s="1"/>
      <c r="C984" s="1"/>
      <c r="D984" s="1"/>
      <c r="E984" s="1"/>
      <c r="F984" s="1"/>
      <c r="G984" s="1"/>
      <c r="H984" s="1"/>
    </row>
    <row r="985" spans="1:8" ht="15.75" customHeight="1">
      <c r="A985" s="1"/>
      <c r="B985" s="1"/>
      <c r="C985" s="1"/>
      <c r="D985" s="1"/>
      <c r="E985" s="1"/>
      <c r="F985" s="1"/>
      <c r="G985" s="1"/>
      <c r="H985" s="1"/>
    </row>
    <row r="986" spans="1:8" ht="15.75" customHeight="1">
      <c r="A986" s="1"/>
      <c r="B986" s="1"/>
      <c r="C986" s="1"/>
      <c r="D986" s="1"/>
      <c r="E986" s="1"/>
      <c r="F986" s="1"/>
      <c r="G986" s="1"/>
      <c r="H986" s="1"/>
    </row>
    <row r="987" spans="1:8" ht="15.75" customHeight="1">
      <c r="A987" s="1"/>
      <c r="B987" s="1"/>
      <c r="C987" s="1"/>
      <c r="D987" s="1"/>
      <c r="E987" s="1"/>
      <c r="F987" s="1"/>
      <c r="G987" s="1"/>
      <c r="H987" s="1"/>
    </row>
    <row r="988" spans="1:8" ht="15.75" customHeight="1">
      <c r="A988" s="1"/>
      <c r="B988" s="1"/>
      <c r="C988" s="1"/>
      <c r="D988" s="1"/>
      <c r="E988" s="1"/>
      <c r="F988" s="1"/>
      <c r="G988" s="1"/>
      <c r="H988" s="1"/>
    </row>
    <row r="989" spans="1:8" ht="15.75" customHeight="1">
      <c r="A989" s="1"/>
      <c r="B989" s="1"/>
      <c r="C989" s="1"/>
      <c r="D989" s="1"/>
      <c r="E989" s="1"/>
      <c r="F989" s="1"/>
      <c r="G989" s="1"/>
      <c r="H989" s="1"/>
    </row>
    <row r="990" spans="1:8" ht="15.75" customHeight="1">
      <c r="A990" s="1"/>
      <c r="B990" s="1"/>
      <c r="C990" s="1"/>
      <c r="D990" s="1"/>
      <c r="E990" s="1"/>
      <c r="F990" s="1"/>
      <c r="G990" s="1"/>
      <c r="H990" s="1"/>
    </row>
    <row r="991" spans="1:8" ht="15.75" customHeight="1">
      <c r="A991" s="1"/>
      <c r="B991" s="1"/>
      <c r="C991" s="1"/>
      <c r="D991" s="1"/>
      <c r="E991" s="1"/>
      <c r="F991" s="1"/>
      <c r="G991" s="1"/>
      <c r="H991" s="1"/>
    </row>
    <row r="992" spans="1:8" ht="15.75" customHeight="1">
      <c r="A992" s="1"/>
      <c r="B992" s="1"/>
      <c r="C992" s="1"/>
      <c r="D992" s="1"/>
      <c r="E992" s="1"/>
      <c r="F992" s="1"/>
      <c r="G992" s="1"/>
      <c r="H992" s="1"/>
    </row>
    <row r="993" spans="1:8" ht="15.75" customHeight="1">
      <c r="A993" s="1"/>
      <c r="B993" s="1"/>
      <c r="C993" s="1"/>
      <c r="D993" s="1"/>
      <c r="E993" s="1"/>
      <c r="F993" s="1"/>
      <c r="G993" s="1"/>
      <c r="H993" s="1"/>
    </row>
    <row r="994" spans="1:8" ht="15.75" customHeight="1">
      <c r="A994" s="1"/>
      <c r="B994" s="1"/>
      <c r="C994" s="1"/>
      <c r="D994" s="1"/>
      <c r="E994" s="1"/>
      <c r="F994" s="1"/>
      <c r="G994" s="1"/>
      <c r="H994" s="1"/>
    </row>
    <row r="995" spans="1:8" ht="15.75" customHeight="1">
      <c r="A995" s="1"/>
      <c r="B995" s="1"/>
      <c r="C995" s="1"/>
      <c r="D995" s="1"/>
      <c r="E995" s="1"/>
      <c r="F995" s="1"/>
      <c r="G995" s="1"/>
      <c r="H995" s="1"/>
    </row>
    <row r="996" spans="1:8" ht="15.75" customHeight="1">
      <c r="A996" s="1"/>
      <c r="B996" s="1"/>
      <c r="C996" s="1"/>
      <c r="D996" s="1"/>
      <c r="E996" s="1"/>
      <c r="F996" s="1"/>
      <c r="G996" s="1"/>
      <c r="H996" s="1"/>
    </row>
    <row r="997" spans="1:8" ht="15.75" customHeight="1">
      <c r="A997" s="1"/>
      <c r="B997" s="1"/>
      <c r="C997" s="1"/>
      <c r="D997" s="1"/>
      <c r="E997" s="1"/>
      <c r="F997" s="1"/>
      <c r="G997" s="1"/>
      <c r="H997" s="1"/>
    </row>
    <row r="998" spans="1:8" ht="15.75" customHeight="1">
      <c r="A998" s="1"/>
      <c r="B998" s="1"/>
      <c r="C998" s="1"/>
      <c r="D998" s="1"/>
      <c r="E998" s="1"/>
      <c r="F998" s="1"/>
      <c r="G998" s="1"/>
      <c r="H998" s="1"/>
    </row>
    <row r="999" spans="1:8" ht="15.75" customHeight="1">
      <c r="A999" s="1"/>
      <c r="B999" s="1"/>
      <c r="C999" s="1"/>
      <c r="D999" s="1"/>
      <c r="E999" s="1"/>
      <c r="F999" s="1"/>
      <c r="G999" s="1"/>
      <c r="H999" s="1"/>
    </row>
    <row r="1000" spans="1:8" ht="15.75" customHeight="1">
      <c r="A1000" s="1"/>
      <c r="B1000" s="1"/>
      <c r="C1000" s="1"/>
      <c r="D1000" s="1"/>
      <c r="E1000" s="1"/>
      <c r="F1000" s="1"/>
      <c r="G1000" s="1"/>
      <c r="H1000" s="1"/>
    </row>
  </sheetData>
  <mergeCells count="5">
    <mergeCell ref="B9:C9"/>
    <mergeCell ref="B11:C11"/>
    <mergeCell ref="B13:C13"/>
    <mergeCell ref="B15:C15"/>
    <mergeCell ref="B17:C17"/>
  </mergeCells>
  <pageMargins left="0.25" right="0.25" top="0.75" bottom="0.75" header="0.3" footer="0.3"/>
  <pageSetup scale="65" fitToHeight="0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4CD77-7D99-4FFD-84C4-E2491AAB2C70}">
  <sheetPr codeName="Hoja8">
    <tabColor rgb="FF385020"/>
    <pageSetUpPr fitToPage="1"/>
  </sheetPr>
  <dimension ref="A1:Z1000"/>
  <sheetViews>
    <sheetView showGridLines="0" topLeftCell="A49" zoomScale="87" workbookViewId="0">
      <selection activeCell="E34" sqref="E34"/>
    </sheetView>
  </sheetViews>
  <sheetFormatPr baseColWidth="10" defaultColWidth="14.42578125" defaultRowHeight="15" customHeight="1"/>
  <cols>
    <col min="1" max="1" width="2.5703125" style="87" customWidth="1"/>
    <col min="2" max="3" width="14.140625" style="87" customWidth="1"/>
    <col min="4" max="4" width="50.42578125" style="87" customWidth="1"/>
    <col min="5" max="5" width="38.140625" style="87" customWidth="1"/>
    <col min="6" max="6" width="36.42578125" style="87" customWidth="1"/>
    <col min="7" max="7" width="47.7109375" style="87" customWidth="1"/>
    <col min="8" max="8" width="2.5703125" style="87" customWidth="1"/>
    <col min="9" max="26" width="10.7109375" style="87" customWidth="1"/>
    <col min="27" max="16384" width="14.42578125" style="87"/>
  </cols>
  <sheetData>
    <row r="1" spans="1:8" ht="15.75">
      <c r="A1" s="108"/>
      <c r="B1" s="108"/>
      <c r="C1" s="108"/>
      <c r="D1" s="108"/>
      <c r="E1" s="108"/>
      <c r="F1" s="108"/>
      <c r="G1" s="108"/>
      <c r="H1" s="108"/>
    </row>
    <row r="2" spans="1:8" ht="21.75" customHeight="1">
      <c r="A2" s="108"/>
      <c r="B2" s="189" t="s">
        <v>0</v>
      </c>
      <c r="C2" s="108"/>
      <c r="D2" s="108"/>
      <c r="E2" s="108"/>
      <c r="F2" s="108"/>
      <c r="G2" s="108"/>
      <c r="H2" s="108"/>
    </row>
    <row r="3" spans="1:8" ht="16.5">
      <c r="A3" s="108"/>
      <c r="B3" s="190" t="s">
        <v>1</v>
      </c>
      <c r="C3" s="108"/>
      <c r="D3" s="108"/>
      <c r="E3" s="108"/>
      <c r="F3" s="108"/>
      <c r="G3" s="108"/>
      <c r="H3" s="108"/>
    </row>
    <row r="4" spans="1:8" ht="15.75">
      <c r="A4" s="108"/>
      <c r="B4" s="108" t="s">
        <v>2</v>
      </c>
      <c r="C4" s="108"/>
      <c r="D4" s="108"/>
      <c r="E4" s="108"/>
      <c r="F4" s="108"/>
      <c r="G4" s="108"/>
      <c r="H4" s="108"/>
    </row>
    <row r="5" spans="1:8" ht="15.75">
      <c r="A5" s="108"/>
      <c r="B5" s="191"/>
      <c r="C5" s="191"/>
      <c r="D5" s="191"/>
      <c r="E5" s="191"/>
      <c r="F5" s="191"/>
      <c r="G5" s="191"/>
      <c r="H5" s="108"/>
    </row>
    <row r="6" spans="1:8" ht="12" customHeight="1">
      <c r="A6" s="108"/>
      <c r="B6" s="108"/>
      <c r="C6" s="108"/>
      <c r="D6" s="108"/>
      <c r="E6" s="108"/>
      <c r="F6" s="108"/>
      <c r="G6" s="108"/>
      <c r="H6" s="108"/>
    </row>
    <row r="7" spans="1:8" ht="15.75">
      <c r="A7" s="108"/>
      <c r="B7" s="192" t="s">
        <v>3</v>
      </c>
      <c r="C7" s="108"/>
      <c r="D7" s="108"/>
      <c r="E7" s="108"/>
      <c r="F7" s="108"/>
      <c r="G7" s="193" t="s">
        <v>4</v>
      </c>
      <c r="H7" s="108"/>
    </row>
    <row r="8" spans="1:8" ht="12" customHeight="1">
      <c r="A8" s="108"/>
      <c r="B8" s="108"/>
      <c r="C8" s="108"/>
      <c r="D8" s="108"/>
      <c r="E8" s="108"/>
      <c r="F8" s="108"/>
      <c r="G8" s="108"/>
      <c r="H8" s="108"/>
    </row>
    <row r="9" spans="1:8" ht="15.75">
      <c r="A9" s="108"/>
      <c r="B9" s="301" t="s">
        <v>5</v>
      </c>
      <c r="C9" s="302"/>
      <c r="D9" s="191" t="s">
        <v>321</v>
      </c>
      <c r="E9" s="108"/>
      <c r="F9" s="194" t="s">
        <v>6</v>
      </c>
      <c r="G9" s="191" t="s">
        <v>322</v>
      </c>
      <c r="H9" s="108"/>
    </row>
    <row r="10" spans="1:8" ht="6.75" customHeight="1">
      <c r="A10" s="108"/>
      <c r="B10" s="108"/>
      <c r="C10" s="108"/>
      <c r="D10" s="108"/>
      <c r="E10" s="108"/>
      <c r="F10" s="108"/>
      <c r="G10" s="108"/>
      <c r="H10" s="108"/>
    </row>
    <row r="11" spans="1:8" ht="15.75">
      <c r="A11" s="108"/>
      <c r="B11" s="301" t="s">
        <v>7</v>
      </c>
      <c r="C11" s="302"/>
      <c r="D11" s="191" t="s">
        <v>323</v>
      </c>
      <c r="E11" s="108"/>
      <c r="F11" s="194" t="s">
        <v>8</v>
      </c>
      <c r="G11" s="191" t="s">
        <v>324</v>
      </c>
      <c r="H11" s="108"/>
    </row>
    <row r="12" spans="1:8" ht="6.75" customHeight="1">
      <c r="A12" s="108"/>
      <c r="B12" s="108"/>
      <c r="C12" s="108"/>
      <c r="D12" s="108"/>
      <c r="E12" s="108"/>
      <c r="F12" s="108"/>
      <c r="G12" s="108"/>
      <c r="H12" s="108"/>
    </row>
    <row r="13" spans="1:8" ht="15.75">
      <c r="A13" s="108"/>
      <c r="B13" s="301" t="s">
        <v>9</v>
      </c>
      <c r="C13" s="302"/>
      <c r="D13" s="191" t="s">
        <v>325</v>
      </c>
      <c r="E13" s="108"/>
      <c r="F13" s="194" t="s">
        <v>10</v>
      </c>
      <c r="G13" s="195">
        <v>34242364.5</v>
      </c>
      <c r="H13" s="108"/>
    </row>
    <row r="14" spans="1:8" ht="6.75" customHeight="1">
      <c r="A14" s="108"/>
      <c r="B14" s="108"/>
      <c r="C14" s="108"/>
      <c r="D14" s="108"/>
      <c r="E14" s="108"/>
      <c r="F14" s="108"/>
      <c r="G14" s="108"/>
      <c r="H14" s="108"/>
    </row>
    <row r="15" spans="1:8" ht="15.75">
      <c r="A15" s="108"/>
      <c r="B15" s="301" t="s">
        <v>11</v>
      </c>
      <c r="C15" s="302"/>
      <c r="D15" s="191" t="s">
        <v>326</v>
      </c>
      <c r="E15" s="108"/>
      <c r="F15" s="194" t="s">
        <v>13</v>
      </c>
      <c r="G15" s="191" t="s">
        <v>14</v>
      </c>
      <c r="H15" s="108"/>
    </row>
    <row r="16" spans="1:8" ht="6.75" customHeight="1">
      <c r="A16" s="108"/>
      <c r="B16" s="196"/>
      <c r="C16" s="196"/>
      <c r="D16" s="108"/>
      <c r="E16" s="108"/>
      <c r="F16" s="108"/>
      <c r="G16" s="108"/>
      <c r="H16" s="108"/>
    </row>
    <row r="17" spans="1:8" ht="15.75">
      <c r="A17" s="108"/>
      <c r="B17" s="301" t="s">
        <v>15</v>
      </c>
      <c r="C17" s="302"/>
      <c r="D17" s="191" t="s">
        <v>327</v>
      </c>
      <c r="E17" s="108"/>
      <c r="F17" s="194" t="s">
        <v>16</v>
      </c>
      <c r="G17" s="191" t="s">
        <v>328</v>
      </c>
      <c r="H17" s="108"/>
    </row>
    <row r="18" spans="1:8" ht="12" customHeight="1">
      <c r="A18" s="108"/>
      <c r="B18" s="108"/>
      <c r="C18" s="108"/>
      <c r="D18" s="108"/>
      <c r="E18" s="108"/>
      <c r="F18" s="108"/>
      <c r="G18" s="108"/>
      <c r="H18" s="108"/>
    </row>
    <row r="19" spans="1:8" ht="15.75">
      <c r="A19" s="108"/>
      <c r="B19" s="192" t="s">
        <v>17</v>
      </c>
      <c r="C19" s="108"/>
      <c r="D19" s="108"/>
      <c r="E19" s="108"/>
      <c r="F19" s="108"/>
      <c r="G19" s="197" t="s">
        <v>18</v>
      </c>
      <c r="H19" s="108"/>
    </row>
    <row r="20" spans="1:8" ht="12" customHeight="1">
      <c r="A20" s="108"/>
      <c r="B20" s="108"/>
      <c r="C20" s="108"/>
      <c r="D20" s="108"/>
      <c r="E20" s="108"/>
      <c r="F20" s="108"/>
      <c r="G20" s="108"/>
      <c r="H20" s="108"/>
    </row>
    <row r="21" spans="1:8" ht="24.75" customHeight="1">
      <c r="A21" s="108"/>
      <c r="B21" s="198" t="s">
        <v>19</v>
      </c>
      <c r="C21" s="198" t="s">
        <v>20</v>
      </c>
      <c r="D21" s="198" t="s">
        <v>21</v>
      </c>
      <c r="E21" s="198" t="s">
        <v>22</v>
      </c>
      <c r="F21" s="198" t="s">
        <v>23</v>
      </c>
      <c r="G21" s="198" t="s">
        <v>24</v>
      </c>
      <c r="H21" s="108"/>
    </row>
    <row r="22" spans="1:8" ht="6.75" customHeight="1">
      <c r="A22" s="108"/>
      <c r="B22" s="108"/>
      <c r="C22" s="108"/>
      <c r="D22" s="108"/>
      <c r="E22" s="108"/>
      <c r="F22" s="108"/>
      <c r="G22" s="108"/>
      <c r="H22" s="108"/>
    </row>
    <row r="23" spans="1:8" ht="15.75" customHeight="1">
      <c r="A23" s="108"/>
      <c r="B23" s="199">
        <v>1</v>
      </c>
      <c r="C23" s="200" t="s">
        <v>25</v>
      </c>
      <c r="D23" s="201" t="s">
        <v>26</v>
      </c>
      <c r="E23" s="202">
        <f>SUM(E24:E38)</f>
        <v>0</v>
      </c>
      <c r="F23" s="203">
        <f t="shared" ref="F23:F38" si="0">E23/$G$13</f>
        <v>0</v>
      </c>
      <c r="G23" s="204"/>
      <c r="H23" s="108"/>
    </row>
    <row r="24" spans="1:8" ht="15.75" customHeight="1">
      <c r="A24" s="108"/>
      <c r="B24" s="205">
        <v>2</v>
      </c>
      <c r="C24" s="206">
        <v>1</v>
      </c>
      <c r="D24" s="194" t="s">
        <v>329</v>
      </c>
      <c r="E24" s="207">
        <v>0</v>
      </c>
      <c r="F24" s="208">
        <f t="shared" si="0"/>
        <v>0</v>
      </c>
      <c r="G24" s="209"/>
      <c r="H24" s="108"/>
    </row>
    <row r="25" spans="1:8" ht="15.75" customHeight="1">
      <c r="A25" s="108"/>
      <c r="B25" s="210">
        <v>3</v>
      </c>
      <c r="C25" s="211">
        <v>2</v>
      </c>
      <c r="D25" s="108" t="s">
        <v>330</v>
      </c>
      <c r="E25" s="212">
        <v>0</v>
      </c>
      <c r="F25" s="213">
        <f t="shared" si="0"/>
        <v>0</v>
      </c>
      <c r="G25" s="214"/>
      <c r="H25" s="108"/>
    </row>
    <row r="26" spans="1:8" ht="15.75" customHeight="1">
      <c r="A26" s="108"/>
      <c r="B26" s="205">
        <v>4</v>
      </c>
      <c r="C26" s="206">
        <v>3</v>
      </c>
      <c r="D26" s="194" t="s">
        <v>331</v>
      </c>
      <c r="E26" s="207">
        <v>0</v>
      </c>
      <c r="F26" s="208">
        <f t="shared" si="0"/>
        <v>0</v>
      </c>
      <c r="G26" s="209"/>
      <c r="H26" s="108"/>
    </row>
    <row r="27" spans="1:8" ht="15.75" customHeight="1">
      <c r="A27" s="108"/>
      <c r="B27" s="210">
        <v>5</v>
      </c>
      <c r="C27" s="211">
        <v>4</v>
      </c>
      <c r="D27" s="108" t="s">
        <v>332</v>
      </c>
      <c r="E27" s="212">
        <v>0</v>
      </c>
      <c r="F27" s="213">
        <f t="shared" si="0"/>
        <v>0</v>
      </c>
      <c r="G27" s="214"/>
      <c r="H27" s="108"/>
    </row>
    <row r="28" spans="1:8" ht="15.75" customHeight="1">
      <c r="A28" s="108"/>
      <c r="B28" s="205">
        <v>6</v>
      </c>
      <c r="C28" s="206">
        <v>5</v>
      </c>
      <c r="D28" s="194" t="s">
        <v>333</v>
      </c>
      <c r="E28" s="207">
        <v>0</v>
      </c>
      <c r="F28" s="208">
        <f t="shared" si="0"/>
        <v>0</v>
      </c>
      <c r="G28" s="209"/>
      <c r="H28" s="108"/>
    </row>
    <row r="29" spans="1:8" ht="15.75" customHeight="1">
      <c r="A29" s="108"/>
      <c r="B29" s="210">
        <v>7</v>
      </c>
      <c r="C29" s="211">
        <v>6</v>
      </c>
      <c r="D29" s="108" t="s">
        <v>334</v>
      </c>
      <c r="E29" s="212">
        <v>0</v>
      </c>
      <c r="F29" s="213">
        <f t="shared" si="0"/>
        <v>0</v>
      </c>
      <c r="G29" s="214"/>
      <c r="H29" s="108"/>
    </row>
    <row r="30" spans="1:8" ht="15.75" customHeight="1">
      <c r="A30" s="108"/>
      <c r="B30" s="205">
        <v>8</v>
      </c>
      <c r="C30" s="206">
        <v>7</v>
      </c>
      <c r="D30" s="194" t="s">
        <v>335</v>
      </c>
      <c r="E30" s="207">
        <v>0</v>
      </c>
      <c r="F30" s="208">
        <f t="shared" si="0"/>
        <v>0</v>
      </c>
      <c r="G30" s="209"/>
      <c r="H30" s="108"/>
    </row>
    <row r="31" spans="1:8" ht="15.75" customHeight="1">
      <c r="A31" s="108"/>
      <c r="B31" s="210">
        <v>9</v>
      </c>
      <c r="C31" s="211">
        <v>8</v>
      </c>
      <c r="D31" s="108" t="s">
        <v>336</v>
      </c>
      <c r="E31" s="212">
        <v>0</v>
      </c>
      <c r="F31" s="213">
        <f t="shared" si="0"/>
        <v>0</v>
      </c>
      <c r="G31" s="214"/>
      <c r="H31" s="108"/>
    </row>
    <row r="32" spans="1:8" ht="15.75" customHeight="1">
      <c r="A32" s="108"/>
      <c r="B32" s="205">
        <v>10</v>
      </c>
      <c r="C32" s="206">
        <v>9</v>
      </c>
      <c r="D32" s="194" t="s">
        <v>337</v>
      </c>
      <c r="E32" s="207">
        <v>0</v>
      </c>
      <c r="F32" s="208">
        <f t="shared" si="0"/>
        <v>0</v>
      </c>
      <c r="G32" s="209"/>
      <c r="H32" s="108"/>
    </row>
    <row r="33" spans="1:26" ht="15.75" customHeight="1">
      <c r="A33" s="108"/>
      <c r="B33" s="210">
        <v>11</v>
      </c>
      <c r="C33" s="211">
        <v>10</v>
      </c>
      <c r="D33" s="108" t="s">
        <v>32</v>
      </c>
      <c r="E33" s="212">
        <v>0</v>
      </c>
      <c r="F33" s="213">
        <f t="shared" si="0"/>
        <v>0</v>
      </c>
      <c r="G33" s="214"/>
      <c r="H33" s="108"/>
    </row>
    <row r="34" spans="1:26" ht="15.75" customHeight="1">
      <c r="A34" s="108"/>
      <c r="B34" s="205">
        <v>12</v>
      </c>
      <c r="C34" s="206">
        <v>11</v>
      </c>
      <c r="D34" s="108" t="s">
        <v>33</v>
      </c>
      <c r="E34" s="212">
        <v>0</v>
      </c>
      <c r="F34" s="213">
        <f t="shared" si="0"/>
        <v>0</v>
      </c>
      <c r="G34" s="214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</row>
    <row r="35" spans="1:26" ht="15.75" customHeight="1">
      <c r="A35" s="108"/>
      <c r="B35" s="210">
        <v>13</v>
      </c>
      <c r="C35" s="211">
        <v>12</v>
      </c>
      <c r="D35" s="194" t="s">
        <v>34</v>
      </c>
      <c r="E35" s="207">
        <v>0</v>
      </c>
      <c r="F35" s="208">
        <f t="shared" si="0"/>
        <v>0</v>
      </c>
      <c r="G35" s="209" t="s">
        <v>36</v>
      </c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</row>
    <row r="36" spans="1:26" ht="15.75" customHeight="1">
      <c r="A36" s="108"/>
      <c r="B36" s="205">
        <v>14</v>
      </c>
      <c r="C36" s="206">
        <v>13</v>
      </c>
      <c r="D36" s="108" t="s">
        <v>35</v>
      </c>
      <c r="E36" s="212">
        <v>0</v>
      </c>
      <c r="F36" s="213">
        <f t="shared" si="0"/>
        <v>0</v>
      </c>
      <c r="G36" s="214" t="s">
        <v>36</v>
      </c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</row>
    <row r="37" spans="1:26" ht="15.75" customHeight="1">
      <c r="A37" s="108"/>
      <c r="B37" s="210">
        <v>15</v>
      </c>
      <c r="C37" s="211">
        <v>14</v>
      </c>
      <c r="D37" s="194" t="s">
        <v>338</v>
      </c>
      <c r="E37" s="207">
        <v>0</v>
      </c>
      <c r="F37" s="208">
        <f t="shared" si="0"/>
        <v>0</v>
      </c>
      <c r="G37" s="209" t="s">
        <v>36</v>
      </c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</row>
    <row r="38" spans="1:26" ht="15.75" customHeight="1">
      <c r="A38" s="108"/>
      <c r="B38" s="215">
        <v>16</v>
      </c>
      <c r="C38" s="216">
        <v>15</v>
      </c>
      <c r="D38" s="191" t="s">
        <v>38</v>
      </c>
      <c r="E38" s="217">
        <v>0</v>
      </c>
      <c r="F38" s="218">
        <f t="shared" si="0"/>
        <v>0</v>
      </c>
      <c r="G38" s="219" t="s">
        <v>36</v>
      </c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</row>
    <row r="39" spans="1:26" ht="6.75" customHeight="1">
      <c r="A39" s="108"/>
      <c r="B39" s="220"/>
      <c r="C39" s="221"/>
      <c r="D39" s="108"/>
      <c r="E39" s="222"/>
      <c r="F39" s="213"/>
      <c r="G39" s="223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</row>
    <row r="40" spans="1:26" ht="15.75" customHeight="1">
      <c r="A40" s="108"/>
      <c r="B40" s="199">
        <v>17</v>
      </c>
      <c r="C40" s="224" t="s">
        <v>39</v>
      </c>
      <c r="D40" s="201" t="s">
        <v>40</v>
      </c>
      <c r="E40" s="202">
        <f>SUM(E41:E48)</f>
        <v>0</v>
      </c>
      <c r="F40" s="203">
        <f t="shared" ref="F40:F48" si="1">E40/$G$13</f>
        <v>0</v>
      </c>
      <c r="G40" s="204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</row>
    <row r="41" spans="1:26" ht="15.75" customHeight="1">
      <c r="A41" s="108"/>
      <c r="B41" s="205">
        <v>18</v>
      </c>
      <c r="C41" s="225">
        <v>19</v>
      </c>
      <c r="D41" s="194" t="s">
        <v>41</v>
      </c>
      <c r="E41" s="207">
        <v>0</v>
      </c>
      <c r="F41" s="208">
        <f t="shared" si="1"/>
        <v>0</v>
      </c>
      <c r="G41" s="209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</row>
    <row r="42" spans="1:26" ht="15.75" customHeight="1">
      <c r="A42" s="108"/>
      <c r="B42" s="210">
        <v>19</v>
      </c>
      <c r="C42" s="226">
        <v>20</v>
      </c>
      <c r="D42" s="108" t="s">
        <v>42</v>
      </c>
      <c r="E42" s="212">
        <v>0</v>
      </c>
      <c r="F42" s="213">
        <f t="shared" si="1"/>
        <v>0</v>
      </c>
      <c r="G42" s="214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</row>
    <row r="43" spans="1:26" ht="15.75" customHeight="1">
      <c r="A43" s="108"/>
      <c r="B43" s="205">
        <v>20</v>
      </c>
      <c r="C43" s="225">
        <v>21</v>
      </c>
      <c r="D43" s="194" t="s">
        <v>43</v>
      </c>
      <c r="E43" s="207">
        <v>0</v>
      </c>
      <c r="F43" s="208">
        <f t="shared" si="1"/>
        <v>0</v>
      </c>
      <c r="G43" s="209" t="s">
        <v>36</v>
      </c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</row>
    <row r="44" spans="1:26" ht="15.75" customHeight="1">
      <c r="A44" s="108"/>
      <c r="B44" s="210">
        <v>21</v>
      </c>
      <c r="C44" s="226">
        <v>22</v>
      </c>
      <c r="D44" s="108" t="s">
        <v>44</v>
      </c>
      <c r="E44" s="212">
        <v>0</v>
      </c>
      <c r="F44" s="213">
        <f t="shared" si="1"/>
        <v>0</v>
      </c>
      <c r="G44" s="214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</row>
    <row r="45" spans="1:26" ht="15.75" customHeight="1">
      <c r="A45" s="108"/>
      <c r="B45" s="205">
        <v>22</v>
      </c>
      <c r="C45" s="225">
        <v>23</v>
      </c>
      <c r="D45" s="194" t="s">
        <v>45</v>
      </c>
      <c r="E45" s="207">
        <v>0</v>
      </c>
      <c r="F45" s="208">
        <f t="shared" si="1"/>
        <v>0</v>
      </c>
      <c r="G45" s="209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</row>
    <row r="46" spans="1:26" ht="15.75" customHeight="1">
      <c r="A46" s="108"/>
      <c r="B46" s="210">
        <v>23</v>
      </c>
      <c r="C46" s="226">
        <v>24</v>
      </c>
      <c r="D46" s="108" t="s">
        <v>46</v>
      </c>
      <c r="E46" s="212">
        <v>0</v>
      </c>
      <c r="F46" s="213">
        <f t="shared" si="1"/>
        <v>0</v>
      </c>
      <c r="G46" s="214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</row>
    <row r="47" spans="1:26" ht="15.75" customHeight="1">
      <c r="A47" s="108"/>
      <c r="B47" s="205">
        <v>24</v>
      </c>
      <c r="C47" s="225">
        <v>25</v>
      </c>
      <c r="D47" s="194" t="s">
        <v>47</v>
      </c>
      <c r="E47" s="207">
        <v>0</v>
      </c>
      <c r="F47" s="208">
        <f t="shared" si="1"/>
        <v>0</v>
      </c>
      <c r="G47" s="209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</row>
    <row r="48" spans="1:26" ht="15.75" customHeight="1">
      <c r="A48" s="108"/>
      <c r="B48" s="227">
        <v>25</v>
      </c>
      <c r="C48" s="228">
        <v>26</v>
      </c>
      <c r="D48" s="191" t="s">
        <v>48</v>
      </c>
      <c r="E48" s="217">
        <v>0</v>
      </c>
      <c r="F48" s="218">
        <f t="shared" si="1"/>
        <v>0</v>
      </c>
      <c r="G48" s="219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</row>
    <row r="49" spans="1:26" ht="6.75" customHeight="1">
      <c r="A49" s="108"/>
      <c r="B49" s="220"/>
      <c r="C49" s="221"/>
      <c r="D49" s="108"/>
      <c r="E49" s="222"/>
      <c r="F49" s="213"/>
      <c r="G49" s="229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</row>
    <row r="50" spans="1:26" ht="15.75" customHeight="1">
      <c r="A50" s="108"/>
      <c r="B50" s="230">
        <v>27</v>
      </c>
      <c r="C50" s="231" t="s">
        <v>49</v>
      </c>
      <c r="D50" s="232" t="s">
        <v>50</v>
      </c>
      <c r="E50" s="233">
        <v>0</v>
      </c>
      <c r="F50" s="234">
        <f>E50/$G$13</f>
        <v>0</v>
      </c>
      <c r="G50" s="235" t="s">
        <v>36</v>
      </c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</row>
    <row r="51" spans="1:26" ht="6.75" customHeight="1">
      <c r="A51" s="108"/>
      <c r="B51" s="220"/>
      <c r="C51" s="236"/>
      <c r="D51" s="237"/>
      <c r="E51" s="238"/>
      <c r="F51" s="239"/>
      <c r="G51" s="223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</row>
    <row r="52" spans="1:26" ht="15.75" customHeight="1">
      <c r="A52" s="108"/>
      <c r="B52" s="230">
        <v>28</v>
      </c>
      <c r="C52" s="231" t="s">
        <v>51</v>
      </c>
      <c r="D52" s="232" t="s">
        <v>52</v>
      </c>
      <c r="E52" s="233">
        <v>0</v>
      </c>
      <c r="F52" s="234">
        <f>E52/$G$13</f>
        <v>0</v>
      </c>
      <c r="G52" s="235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</row>
    <row r="53" spans="1:26" ht="6.75" customHeight="1">
      <c r="A53" s="108"/>
      <c r="B53" s="220"/>
      <c r="C53" s="236"/>
      <c r="D53" s="237"/>
      <c r="E53" s="238"/>
      <c r="F53" s="239"/>
      <c r="G53" s="223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</row>
    <row r="54" spans="1:26" ht="15.75" customHeight="1">
      <c r="A54" s="108"/>
      <c r="B54" s="230">
        <v>29</v>
      </c>
      <c r="C54" s="231" t="s">
        <v>53</v>
      </c>
      <c r="D54" s="232" t="s">
        <v>54</v>
      </c>
      <c r="E54" s="233">
        <v>0</v>
      </c>
      <c r="F54" s="234">
        <f>E54/$G$13</f>
        <v>0</v>
      </c>
      <c r="G54" s="235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</row>
    <row r="55" spans="1:26" ht="12" customHeight="1">
      <c r="A55" s="108"/>
      <c r="B55" s="240"/>
      <c r="C55" s="108"/>
      <c r="D55" s="108"/>
      <c r="E55" s="222"/>
      <c r="F55" s="108"/>
      <c r="G55" s="240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</row>
    <row r="56" spans="1:26" ht="22.5" customHeight="1">
      <c r="A56" s="108"/>
      <c r="B56" s="240"/>
      <c r="C56" s="237"/>
      <c r="D56" s="241" t="s">
        <v>55</v>
      </c>
      <c r="E56" s="242">
        <f>E23+E40+E50+E52+E54</f>
        <v>0</v>
      </c>
      <c r="F56" s="243">
        <f>E56/$G$13</f>
        <v>0</v>
      </c>
      <c r="G56" s="196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</row>
    <row r="57" spans="1:26" ht="15.75" customHeight="1">
      <c r="A57" s="108"/>
      <c r="B57" s="240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</row>
    <row r="58" spans="1:26" ht="15.75" customHeight="1">
      <c r="A58" s="108"/>
      <c r="B58" s="240"/>
      <c r="C58" s="108"/>
      <c r="D58" s="108"/>
      <c r="E58" s="222"/>
      <c r="F58" s="222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</row>
    <row r="59" spans="1:26" ht="15.75" customHeight="1">
      <c r="A59" s="108"/>
      <c r="B59" s="240"/>
      <c r="C59" s="108"/>
      <c r="D59" s="108"/>
      <c r="E59" s="222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</row>
    <row r="60" spans="1:26" ht="15.75" customHeight="1">
      <c r="A60" s="108"/>
      <c r="B60" s="240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</row>
    <row r="61" spans="1:26" ht="15.75" customHeight="1">
      <c r="A61" s="108"/>
      <c r="B61" s="108"/>
      <c r="C61" s="108"/>
      <c r="D61" s="108"/>
      <c r="E61" s="108"/>
      <c r="F61" s="108"/>
      <c r="G61" s="108"/>
      <c r="H61" s="108"/>
    </row>
    <row r="62" spans="1:26" ht="15.75" customHeight="1">
      <c r="A62" s="108"/>
      <c r="B62" s="108"/>
      <c r="C62" s="108"/>
      <c r="D62" s="108"/>
      <c r="E62" s="108"/>
      <c r="F62" s="108"/>
      <c r="G62" s="108"/>
      <c r="H62" s="108"/>
    </row>
    <row r="63" spans="1:26" ht="15.75" customHeight="1">
      <c r="A63" s="108"/>
      <c r="B63" s="108"/>
      <c r="C63" s="108"/>
      <c r="D63" s="108"/>
      <c r="E63" s="108"/>
      <c r="F63" s="108"/>
      <c r="G63" s="108"/>
      <c r="H63" s="108"/>
    </row>
    <row r="64" spans="1:26" ht="15.75" customHeight="1">
      <c r="A64" s="108"/>
      <c r="B64" s="108"/>
      <c r="C64" s="108"/>
      <c r="D64" s="108"/>
      <c r="E64" s="108"/>
      <c r="F64" s="108"/>
      <c r="G64" s="108"/>
      <c r="H64" s="108"/>
    </row>
    <row r="65" spans="1:8" ht="15.75" customHeight="1">
      <c r="A65" s="108"/>
      <c r="B65" s="108"/>
      <c r="C65" s="108"/>
      <c r="D65" s="108"/>
      <c r="E65" s="108"/>
      <c r="F65" s="108"/>
      <c r="G65" s="108"/>
      <c r="H65" s="108"/>
    </row>
    <row r="66" spans="1:8" ht="15.75" customHeight="1">
      <c r="A66" s="108"/>
      <c r="B66" s="108"/>
      <c r="C66" s="108"/>
      <c r="D66" s="108"/>
      <c r="E66" s="108"/>
      <c r="F66" s="108"/>
      <c r="G66" s="108"/>
      <c r="H66" s="108"/>
    </row>
    <row r="67" spans="1:8" ht="15.75" customHeight="1">
      <c r="A67" s="108"/>
      <c r="B67" s="108"/>
      <c r="C67" s="108"/>
      <c r="D67" s="108"/>
      <c r="E67" s="108"/>
      <c r="F67" s="108"/>
      <c r="G67" s="108"/>
      <c r="H67" s="108"/>
    </row>
    <row r="68" spans="1:8" ht="15.75" customHeight="1">
      <c r="A68" s="108"/>
      <c r="B68" s="108"/>
      <c r="C68" s="108"/>
      <c r="D68" s="108"/>
      <c r="E68" s="108"/>
      <c r="F68" s="108"/>
      <c r="G68" s="108"/>
      <c r="H68" s="108"/>
    </row>
    <row r="69" spans="1:8" ht="15.75" customHeight="1">
      <c r="A69" s="108"/>
      <c r="B69" s="108"/>
      <c r="C69" s="108"/>
      <c r="D69" s="108"/>
      <c r="E69" s="108"/>
      <c r="F69" s="108"/>
      <c r="G69" s="108"/>
      <c r="H69" s="108"/>
    </row>
    <row r="70" spans="1:8" ht="15.75" customHeight="1">
      <c r="A70" s="108"/>
      <c r="B70" s="108"/>
      <c r="C70" s="108"/>
      <c r="D70" s="108"/>
      <c r="E70" s="108"/>
      <c r="F70" s="108"/>
      <c r="G70" s="108"/>
      <c r="H70" s="108"/>
    </row>
    <row r="71" spans="1:8" ht="15.75" customHeight="1">
      <c r="A71" s="108"/>
      <c r="B71" s="108"/>
      <c r="C71" s="108"/>
      <c r="D71" s="108"/>
      <c r="E71" s="108"/>
      <c r="F71" s="108"/>
      <c r="G71" s="108"/>
      <c r="H71" s="108"/>
    </row>
    <row r="72" spans="1:8" ht="15.75" customHeight="1">
      <c r="A72" s="108"/>
      <c r="B72" s="108"/>
      <c r="C72" s="108"/>
      <c r="D72" s="108"/>
      <c r="E72" s="108"/>
      <c r="F72" s="108"/>
      <c r="G72" s="108"/>
      <c r="H72" s="108"/>
    </row>
    <row r="73" spans="1:8" ht="15.75" customHeight="1">
      <c r="A73" s="108"/>
      <c r="B73" s="108"/>
      <c r="C73" s="108"/>
      <c r="D73" s="108"/>
      <c r="E73" s="108"/>
      <c r="F73" s="108"/>
      <c r="G73" s="108"/>
      <c r="H73" s="108"/>
    </row>
    <row r="74" spans="1:8" ht="15.75" customHeight="1">
      <c r="A74" s="108"/>
      <c r="B74" s="108"/>
      <c r="C74" s="108"/>
      <c r="D74" s="108"/>
      <c r="E74" s="108"/>
      <c r="F74" s="108"/>
      <c r="G74" s="108"/>
      <c r="H74" s="108"/>
    </row>
    <row r="75" spans="1:8" ht="15.75" customHeight="1">
      <c r="A75" s="108"/>
      <c r="B75" s="108"/>
      <c r="C75" s="108"/>
      <c r="D75" s="108"/>
      <c r="E75" s="108"/>
      <c r="F75" s="108"/>
      <c r="G75" s="108"/>
      <c r="H75" s="108"/>
    </row>
    <row r="76" spans="1:8" ht="15.75" customHeight="1">
      <c r="A76" s="108"/>
      <c r="B76" s="108"/>
      <c r="C76" s="108"/>
      <c r="D76" s="108"/>
      <c r="E76" s="108"/>
      <c r="F76" s="108"/>
      <c r="G76" s="108"/>
      <c r="H76" s="108"/>
    </row>
    <row r="77" spans="1:8" ht="15.75" customHeight="1">
      <c r="A77" s="108"/>
      <c r="B77" s="108"/>
      <c r="C77" s="108"/>
      <c r="D77" s="108"/>
      <c r="E77" s="108"/>
      <c r="F77" s="108"/>
      <c r="G77" s="108"/>
      <c r="H77" s="108"/>
    </row>
    <row r="78" spans="1:8" ht="15.75" customHeight="1">
      <c r="A78" s="108"/>
      <c r="B78" s="108"/>
      <c r="C78" s="108"/>
      <c r="D78" s="108"/>
      <c r="E78" s="108"/>
      <c r="F78" s="108"/>
      <c r="G78" s="108"/>
      <c r="H78" s="108"/>
    </row>
    <row r="79" spans="1:8" ht="15.75" customHeight="1">
      <c r="A79" s="108"/>
      <c r="B79" s="108"/>
      <c r="C79" s="108"/>
      <c r="D79" s="108"/>
      <c r="E79" s="108"/>
      <c r="F79" s="108"/>
      <c r="G79" s="108"/>
      <c r="H79" s="108"/>
    </row>
    <row r="80" spans="1:8" ht="15.75" customHeight="1">
      <c r="A80" s="108"/>
      <c r="B80" s="108"/>
      <c r="C80" s="108"/>
      <c r="D80" s="108"/>
      <c r="E80" s="108"/>
      <c r="F80" s="108"/>
      <c r="G80" s="108"/>
      <c r="H80" s="108"/>
    </row>
    <row r="81" spans="1:8" ht="15.75" customHeight="1">
      <c r="A81" s="108"/>
      <c r="B81" s="108"/>
      <c r="C81" s="108"/>
      <c r="D81" s="108"/>
      <c r="E81" s="108"/>
      <c r="F81" s="108"/>
      <c r="G81" s="108"/>
      <c r="H81" s="108"/>
    </row>
    <row r="82" spans="1:8" ht="15.75" customHeight="1">
      <c r="A82" s="108"/>
      <c r="B82" s="108"/>
      <c r="C82" s="108"/>
      <c r="D82" s="108"/>
      <c r="E82" s="108"/>
      <c r="F82" s="108"/>
      <c r="G82" s="108"/>
      <c r="H82" s="108"/>
    </row>
    <row r="83" spans="1:8" ht="15.75" customHeight="1">
      <c r="A83" s="108"/>
      <c r="B83" s="108"/>
      <c r="C83" s="108"/>
      <c r="D83" s="108"/>
      <c r="E83" s="108"/>
      <c r="F83" s="108"/>
      <c r="G83" s="108"/>
      <c r="H83" s="108"/>
    </row>
    <row r="84" spans="1:8" ht="15.75" customHeight="1">
      <c r="A84" s="108"/>
      <c r="B84" s="108"/>
      <c r="C84" s="108"/>
      <c r="D84" s="108"/>
      <c r="E84" s="108"/>
      <c r="F84" s="108"/>
      <c r="G84" s="108"/>
      <c r="H84" s="108"/>
    </row>
    <row r="85" spans="1:8" ht="15.75" customHeight="1">
      <c r="A85" s="108"/>
      <c r="B85" s="108"/>
      <c r="C85" s="108"/>
      <c r="D85" s="108"/>
      <c r="E85" s="108"/>
      <c r="F85" s="108"/>
      <c r="G85" s="108"/>
      <c r="H85" s="108"/>
    </row>
    <row r="86" spans="1:8" ht="15.75" customHeight="1">
      <c r="A86" s="108"/>
      <c r="B86" s="108"/>
      <c r="C86" s="108"/>
      <c r="D86" s="108"/>
      <c r="E86" s="108"/>
      <c r="F86" s="108"/>
      <c r="G86" s="108"/>
      <c r="H86" s="108"/>
    </row>
    <row r="87" spans="1:8" ht="15.75" customHeight="1">
      <c r="A87" s="108"/>
      <c r="B87" s="108"/>
      <c r="C87" s="108"/>
      <c r="D87" s="108"/>
      <c r="E87" s="108"/>
      <c r="F87" s="108"/>
      <c r="G87" s="108"/>
      <c r="H87" s="108"/>
    </row>
    <row r="88" spans="1:8" ht="15.75" customHeight="1">
      <c r="A88" s="108"/>
      <c r="B88" s="108"/>
      <c r="C88" s="108"/>
      <c r="D88" s="108"/>
      <c r="E88" s="108"/>
      <c r="F88" s="108"/>
      <c r="G88" s="108"/>
      <c r="H88" s="108"/>
    </row>
    <row r="89" spans="1:8" ht="15.75" customHeight="1">
      <c r="A89" s="108"/>
      <c r="B89" s="108"/>
      <c r="C89" s="108"/>
      <c r="D89" s="108"/>
      <c r="E89" s="108"/>
      <c r="F89" s="108"/>
      <c r="G89" s="108"/>
      <c r="H89" s="108"/>
    </row>
    <row r="90" spans="1:8" ht="15.75" customHeight="1">
      <c r="A90" s="108"/>
      <c r="B90" s="108"/>
      <c r="C90" s="108"/>
      <c r="D90" s="108"/>
      <c r="E90" s="108"/>
      <c r="F90" s="108"/>
      <c r="G90" s="108"/>
      <c r="H90" s="108"/>
    </row>
    <row r="91" spans="1:8" ht="15.75" customHeight="1">
      <c r="A91" s="108"/>
      <c r="B91" s="108"/>
      <c r="C91" s="108"/>
      <c r="D91" s="108"/>
      <c r="E91" s="108"/>
      <c r="F91" s="108"/>
      <c r="G91" s="108"/>
      <c r="H91" s="108"/>
    </row>
    <row r="92" spans="1:8" ht="15.75" customHeight="1">
      <c r="A92" s="108"/>
      <c r="B92" s="108"/>
      <c r="C92" s="108"/>
      <c r="D92" s="108"/>
      <c r="E92" s="108"/>
      <c r="F92" s="108"/>
      <c r="G92" s="108"/>
      <c r="H92" s="108"/>
    </row>
    <row r="93" spans="1:8" ht="15.75" customHeight="1">
      <c r="A93" s="108"/>
      <c r="B93" s="108"/>
      <c r="C93" s="108"/>
      <c r="D93" s="108"/>
      <c r="E93" s="108"/>
      <c r="F93" s="108"/>
      <c r="G93" s="108"/>
      <c r="H93" s="108"/>
    </row>
    <row r="94" spans="1:8" ht="15.75" customHeight="1">
      <c r="A94" s="108"/>
      <c r="B94" s="108"/>
      <c r="C94" s="108"/>
      <c r="D94" s="108"/>
      <c r="E94" s="108"/>
      <c r="F94" s="108"/>
      <c r="G94" s="108"/>
      <c r="H94" s="108"/>
    </row>
    <row r="95" spans="1:8" ht="15.75" customHeight="1">
      <c r="A95" s="108"/>
      <c r="B95" s="108"/>
      <c r="C95" s="108"/>
      <c r="D95" s="108"/>
      <c r="E95" s="108"/>
      <c r="F95" s="108"/>
      <c r="G95" s="108"/>
      <c r="H95" s="108"/>
    </row>
    <row r="96" spans="1:8" ht="15.75" customHeight="1">
      <c r="A96" s="108"/>
      <c r="B96" s="108"/>
      <c r="C96" s="108"/>
      <c r="D96" s="108"/>
      <c r="E96" s="108"/>
      <c r="F96" s="108"/>
      <c r="G96" s="108"/>
      <c r="H96" s="108"/>
    </row>
    <row r="97" spans="1:8" ht="15.75" customHeight="1">
      <c r="A97" s="108"/>
      <c r="B97" s="108"/>
      <c r="C97" s="108"/>
      <c r="D97" s="108"/>
      <c r="E97" s="108"/>
      <c r="F97" s="108"/>
      <c r="G97" s="108"/>
      <c r="H97" s="108"/>
    </row>
    <row r="98" spans="1:8" ht="15.75" customHeight="1">
      <c r="A98" s="108"/>
      <c r="B98" s="108"/>
      <c r="C98" s="108"/>
      <c r="D98" s="108"/>
      <c r="E98" s="108"/>
      <c r="F98" s="108"/>
      <c r="G98" s="108"/>
      <c r="H98" s="108"/>
    </row>
    <row r="99" spans="1:8" ht="15.75" customHeight="1">
      <c r="A99" s="108"/>
      <c r="B99" s="108"/>
      <c r="C99" s="108"/>
      <c r="D99" s="108"/>
      <c r="E99" s="108"/>
      <c r="F99" s="108"/>
      <c r="G99" s="108"/>
      <c r="H99" s="108"/>
    </row>
    <row r="100" spans="1:8" ht="15.75" customHeight="1">
      <c r="A100" s="108"/>
      <c r="B100" s="108"/>
      <c r="C100" s="108"/>
      <c r="D100" s="108"/>
      <c r="E100" s="108"/>
      <c r="F100" s="108"/>
      <c r="G100" s="108"/>
      <c r="H100" s="108"/>
    </row>
    <row r="101" spans="1:8" ht="15.75" customHeight="1">
      <c r="A101" s="108"/>
      <c r="B101" s="108"/>
      <c r="C101" s="108"/>
      <c r="D101" s="108"/>
      <c r="E101" s="108"/>
      <c r="F101" s="108"/>
      <c r="G101" s="108"/>
      <c r="H101" s="108"/>
    </row>
    <row r="102" spans="1:8" ht="15.75" customHeight="1">
      <c r="A102" s="108"/>
      <c r="B102" s="108"/>
      <c r="C102" s="108"/>
      <c r="D102" s="108"/>
      <c r="E102" s="108"/>
      <c r="F102" s="108"/>
      <c r="G102" s="108"/>
      <c r="H102" s="108"/>
    </row>
    <row r="103" spans="1:8" ht="15.75" customHeight="1">
      <c r="A103" s="108"/>
      <c r="B103" s="108"/>
      <c r="C103" s="108"/>
      <c r="D103" s="108"/>
      <c r="E103" s="108"/>
      <c r="F103" s="108"/>
      <c r="G103" s="108"/>
      <c r="H103" s="108"/>
    </row>
    <row r="104" spans="1:8" ht="15.75" customHeight="1">
      <c r="A104" s="108"/>
      <c r="B104" s="108"/>
      <c r="C104" s="108"/>
      <c r="D104" s="108"/>
      <c r="E104" s="108"/>
      <c r="F104" s="108"/>
      <c r="G104" s="108"/>
      <c r="H104" s="108"/>
    </row>
    <row r="105" spans="1:8" ht="15.75" customHeight="1">
      <c r="A105" s="108"/>
      <c r="B105" s="108"/>
      <c r="C105" s="108"/>
      <c r="D105" s="108"/>
      <c r="E105" s="108"/>
      <c r="F105" s="108"/>
      <c r="G105" s="108"/>
      <c r="H105" s="108"/>
    </row>
    <row r="106" spans="1:8" ht="15.75" customHeight="1">
      <c r="A106" s="108"/>
      <c r="B106" s="108"/>
      <c r="C106" s="108"/>
      <c r="D106" s="108"/>
      <c r="E106" s="108"/>
      <c r="F106" s="108"/>
      <c r="G106" s="108"/>
      <c r="H106" s="108"/>
    </row>
    <row r="107" spans="1:8" ht="15.75" customHeight="1">
      <c r="A107" s="108"/>
      <c r="B107" s="108"/>
      <c r="C107" s="108"/>
      <c r="D107" s="108"/>
      <c r="E107" s="108"/>
      <c r="F107" s="108"/>
      <c r="G107" s="108"/>
      <c r="H107" s="108"/>
    </row>
    <row r="108" spans="1:8" ht="15.75" customHeight="1">
      <c r="A108" s="108"/>
      <c r="B108" s="108"/>
      <c r="C108" s="108"/>
      <c r="D108" s="108"/>
      <c r="E108" s="108"/>
      <c r="F108" s="108"/>
      <c r="G108" s="108"/>
      <c r="H108" s="108"/>
    </row>
    <row r="109" spans="1:8" ht="15.75" customHeight="1">
      <c r="A109" s="108"/>
      <c r="B109" s="108"/>
      <c r="C109" s="108"/>
      <c r="D109" s="108"/>
      <c r="E109" s="108"/>
      <c r="F109" s="108"/>
      <c r="G109" s="108"/>
      <c r="H109" s="108"/>
    </row>
    <row r="110" spans="1:8" ht="15.75" customHeight="1">
      <c r="A110" s="108"/>
      <c r="B110" s="108"/>
      <c r="C110" s="108"/>
      <c r="D110" s="108"/>
      <c r="E110" s="108"/>
      <c r="F110" s="108"/>
      <c r="G110" s="108"/>
      <c r="H110" s="108"/>
    </row>
    <row r="111" spans="1:8" ht="15.75" customHeight="1">
      <c r="A111" s="108"/>
      <c r="B111" s="108"/>
      <c r="C111" s="108"/>
      <c r="D111" s="108"/>
      <c r="E111" s="108"/>
      <c r="F111" s="108"/>
      <c r="G111" s="108"/>
      <c r="H111" s="108"/>
    </row>
    <row r="112" spans="1:8" ht="15.75" customHeight="1">
      <c r="A112" s="108"/>
      <c r="B112" s="108"/>
      <c r="C112" s="108"/>
      <c r="D112" s="108"/>
      <c r="E112" s="108"/>
      <c r="F112" s="108"/>
      <c r="G112" s="108"/>
      <c r="H112" s="108"/>
    </row>
    <row r="113" spans="1:8" ht="15.75" customHeight="1">
      <c r="A113" s="108"/>
      <c r="B113" s="108"/>
      <c r="C113" s="108"/>
      <c r="D113" s="108"/>
      <c r="E113" s="108"/>
      <c r="F113" s="108"/>
      <c r="G113" s="108"/>
      <c r="H113" s="108"/>
    </row>
    <row r="114" spans="1:8" ht="15.75" customHeight="1">
      <c r="A114" s="108"/>
      <c r="B114" s="108"/>
      <c r="C114" s="108"/>
      <c r="D114" s="108"/>
      <c r="E114" s="108"/>
      <c r="F114" s="108"/>
      <c r="G114" s="108"/>
      <c r="H114" s="108"/>
    </row>
    <row r="115" spans="1:8" ht="15.75" customHeight="1">
      <c r="A115" s="108"/>
      <c r="B115" s="108"/>
      <c r="C115" s="108"/>
      <c r="D115" s="108"/>
      <c r="E115" s="108"/>
      <c r="F115" s="108"/>
      <c r="G115" s="108"/>
      <c r="H115" s="108"/>
    </row>
    <row r="116" spans="1:8" ht="15.75" customHeight="1">
      <c r="A116" s="108"/>
      <c r="B116" s="108"/>
      <c r="C116" s="108"/>
      <c r="D116" s="108"/>
      <c r="E116" s="108"/>
      <c r="F116" s="108"/>
      <c r="G116" s="108"/>
      <c r="H116" s="108"/>
    </row>
    <row r="117" spans="1:8" ht="15.75" customHeight="1">
      <c r="A117" s="108"/>
      <c r="B117" s="108"/>
      <c r="C117" s="108"/>
      <c r="D117" s="108"/>
      <c r="E117" s="108"/>
      <c r="F117" s="108"/>
      <c r="G117" s="108"/>
      <c r="H117" s="108"/>
    </row>
    <row r="118" spans="1:8" ht="15.75" customHeight="1">
      <c r="A118" s="108"/>
      <c r="B118" s="108"/>
      <c r="C118" s="108"/>
      <c r="D118" s="108"/>
      <c r="E118" s="108"/>
      <c r="F118" s="108"/>
      <c r="G118" s="108"/>
      <c r="H118" s="108"/>
    </row>
    <row r="119" spans="1:8" ht="15.75" customHeight="1">
      <c r="A119" s="108"/>
      <c r="B119" s="108"/>
      <c r="C119" s="108"/>
      <c r="D119" s="108"/>
      <c r="E119" s="108"/>
      <c r="F119" s="108"/>
      <c r="G119" s="108"/>
      <c r="H119" s="108"/>
    </row>
    <row r="120" spans="1:8" ht="15.75" customHeight="1">
      <c r="A120" s="108"/>
      <c r="B120" s="108"/>
      <c r="C120" s="108"/>
      <c r="D120" s="108"/>
      <c r="E120" s="108"/>
      <c r="F120" s="108"/>
      <c r="G120" s="108"/>
      <c r="H120" s="108"/>
    </row>
    <row r="121" spans="1:8" ht="15.75" customHeight="1">
      <c r="A121" s="108"/>
      <c r="B121" s="108"/>
      <c r="C121" s="108"/>
      <c r="D121" s="108"/>
      <c r="E121" s="108"/>
      <c r="F121" s="108"/>
      <c r="G121" s="108"/>
      <c r="H121" s="108"/>
    </row>
    <row r="122" spans="1:8" ht="15.75" customHeight="1">
      <c r="A122" s="108"/>
      <c r="B122" s="108"/>
      <c r="C122" s="108"/>
      <c r="D122" s="108"/>
      <c r="E122" s="108"/>
      <c r="F122" s="108"/>
      <c r="G122" s="108"/>
      <c r="H122" s="108"/>
    </row>
    <row r="123" spans="1:8" ht="15.75" customHeight="1">
      <c r="A123" s="108"/>
      <c r="B123" s="108"/>
      <c r="C123" s="108"/>
      <c r="D123" s="108"/>
      <c r="E123" s="108"/>
      <c r="F123" s="108"/>
      <c r="G123" s="108"/>
      <c r="H123" s="108"/>
    </row>
    <row r="124" spans="1:8" ht="15.75" customHeight="1">
      <c r="A124" s="108"/>
      <c r="B124" s="108"/>
      <c r="C124" s="108"/>
      <c r="D124" s="108"/>
      <c r="E124" s="108"/>
      <c r="F124" s="108"/>
      <c r="G124" s="108"/>
      <c r="H124" s="108"/>
    </row>
    <row r="125" spans="1:8" ht="15.75" customHeight="1">
      <c r="A125" s="108"/>
      <c r="B125" s="108"/>
      <c r="C125" s="108"/>
      <c r="D125" s="108"/>
      <c r="E125" s="108"/>
      <c r="F125" s="108"/>
      <c r="G125" s="108"/>
      <c r="H125" s="108"/>
    </row>
    <row r="126" spans="1:8" ht="15.75" customHeight="1">
      <c r="A126" s="108"/>
      <c r="B126" s="108"/>
      <c r="C126" s="108"/>
      <c r="D126" s="108"/>
      <c r="E126" s="108"/>
      <c r="F126" s="108"/>
      <c r="G126" s="108"/>
      <c r="H126" s="108"/>
    </row>
    <row r="127" spans="1:8" ht="15.75" customHeight="1">
      <c r="A127" s="108"/>
      <c r="B127" s="108"/>
      <c r="C127" s="108"/>
      <c r="D127" s="108"/>
      <c r="E127" s="108"/>
      <c r="F127" s="108"/>
      <c r="G127" s="108"/>
      <c r="H127" s="108"/>
    </row>
    <row r="128" spans="1:8" ht="15.75" customHeight="1">
      <c r="A128" s="108"/>
      <c r="B128" s="108"/>
      <c r="C128" s="108"/>
      <c r="D128" s="108"/>
      <c r="E128" s="108"/>
      <c r="F128" s="108"/>
      <c r="G128" s="108"/>
      <c r="H128" s="108"/>
    </row>
    <row r="129" spans="1:8" ht="15.75" customHeight="1">
      <c r="A129" s="108"/>
      <c r="B129" s="108"/>
      <c r="C129" s="108"/>
      <c r="D129" s="108"/>
      <c r="E129" s="108"/>
      <c r="F129" s="108"/>
      <c r="G129" s="108"/>
      <c r="H129" s="108"/>
    </row>
    <row r="130" spans="1:8" ht="15.75" customHeight="1">
      <c r="A130" s="108"/>
      <c r="B130" s="108"/>
      <c r="C130" s="108"/>
      <c r="D130" s="108"/>
      <c r="E130" s="108"/>
      <c r="F130" s="108"/>
      <c r="G130" s="108"/>
      <c r="H130" s="108"/>
    </row>
    <row r="131" spans="1:8" ht="15.75" customHeight="1">
      <c r="A131" s="108"/>
      <c r="B131" s="108"/>
      <c r="C131" s="108"/>
      <c r="D131" s="108"/>
      <c r="E131" s="108"/>
      <c r="F131" s="108"/>
      <c r="G131" s="108"/>
      <c r="H131" s="108"/>
    </row>
    <row r="132" spans="1:8" ht="15.75" customHeight="1">
      <c r="A132" s="108"/>
      <c r="B132" s="108"/>
      <c r="C132" s="108"/>
      <c r="D132" s="108"/>
      <c r="E132" s="108"/>
      <c r="F132" s="108"/>
      <c r="G132" s="108"/>
      <c r="H132" s="108"/>
    </row>
    <row r="133" spans="1:8" ht="15.75" customHeight="1">
      <c r="A133" s="108"/>
      <c r="B133" s="108"/>
      <c r="C133" s="108"/>
      <c r="D133" s="108"/>
      <c r="E133" s="108"/>
      <c r="F133" s="108"/>
      <c r="G133" s="108"/>
      <c r="H133" s="108"/>
    </row>
    <row r="134" spans="1:8" ht="15.75" customHeight="1">
      <c r="A134" s="108"/>
      <c r="B134" s="108"/>
      <c r="C134" s="108"/>
      <c r="D134" s="108"/>
      <c r="E134" s="108"/>
      <c r="F134" s="108"/>
      <c r="G134" s="108"/>
      <c r="H134" s="108"/>
    </row>
    <row r="135" spans="1:8" ht="15.75" customHeight="1">
      <c r="A135" s="108"/>
      <c r="B135" s="108"/>
      <c r="C135" s="108"/>
      <c r="D135" s="108"/>
      <c r="E135" s="108"/>
      <c r="F135" s="108"/>
      <c r="G135" s="108"/>
      <c r="H135" s="108"/>
    </row>
    <row r="136" spans="1:8" ht="15.75" customHeight="1">
      <c r="A136" s="108"/>
      <c r="B136" s="108"/>
      <c r="C136" s="108"/>
      <c r="D136" s="108"/>
      <c r="E136" s="108"/>
      <c r="F136" s="108"/>
      <c r="G136" s="108"/>
      <c r="H136" s="108"/>
    </row>
    <row r="137" spans="1:8" ht="15.75" customHeight="1">
      <c r="A137" s="108"/>
      <c r="B137" s="108"/>
      <c r="C137" s="108"/>
      <c r="D137" s="108"/>
      <c r="E137" s="108"/>
      <c r="F137" s="108"/>
      <c r="G137" s="108"/>
      <c r="H137" s="108"/>
    </row>
    <row r="138" spans="1:8" ht="15.75" customHeight="1">
      <c r="A138" s="108"/>
      <c r="B138" s="108"/>
      <c r="C138" s="108"/>
      <c r="D138" s="108"/>
      <c r="E138" s="108"/>
      <c r="F138" s="108"/>
      <c r="G138" s="108"/>
      <c r="H138" s="108"/>
    </row>
    <row r="139" spans="1:8" ht="15.75" customHeight="1">
      <c r="A139" s="108"/>
      <c r="B139" s="108"/>
      <c r="C139" s="108"/>
      <c r="D139" s="108"/>
      <c r="E139" s="108"/>
      <c r="F139" s="108"/>
      <c r="G139" s="108"/>
      <c r="H139" s="108"/>
    </row>
    <row r="140" spans="1:8" ht="15.75" customHeight="1">
      <c r="A140" s="108"/>
      <c r="B140" s="108"/>
      <c r="C140" s="108"/>
      <c r="D140" s="108"/>
      <c r="E140" s="108"/>
      <c r="F140" s="108"/>
      <c r="G140" s="108"/>
      <c r="H140" s="108"/>
    </row>
    <row r="141" spans="1:8" ht="15.75" customHeight="1">
      <c r="A141" s="108"/>
      <c r="B141" s="108"/>
      <c r="C141" s="108"/>
      <c r="D141" s="108"/>
      <c r="E141" s="108"/>
      <c r="F141" s="108"/>
      <c r="G141" s="108"/>
      <c r="H141" s="108"/>
    </row>
    <row r="142" spans="1:8" ht="15.75" customHeight="1">
      <c r="A142" s="108"/>
      <c r="B142" s="108"/>
      <c r="C142" s="108"/>
      <c r="D142" s="108"/>
      <c r="E142" s="108"/>
      <c r="F142" s="108"/>
      <c r="G142" s="108"/>
      <c r="H142" s="108"/>
    </row>
    <row r="143" spans="1:8" ht="15.75" customHeight="1">
      <c r="A143" s="108"/>
      <c r="B143" s="108"/>
      <c r="C143" s="108"/>
      <c r="D143" s="108"/>
      <c r="E143" s="108"/>
      <c r="F143" s="108"/>
      <c r="G143" s="108"/>
      <c r="H143" s="108"/>
    </row>
    <row r="144" spans="1:8" ht="15.75" customHeight="1">
      <c r="A144" s="108"/>
      <c r="B144" s="108"/>
      <c r="C144" s="108"/>
      <c r="D144" s="108"/>
      <c r="E144" s="108"/>
      <c r="F144" s="108"/>
      <c r="G144" s="108"/>
      <c r="H144" s="108"/>
    </row>
    <row r="145" spans="1:8" ht="15.75" customHeight="1">
      <c r="A145" s="108"/>
      <c r="B145" s="108"/>
      <c r="C145" s="108"/>
      <c r="D145" s="108"/>
      <c r="E145" s="108"/>
      <c r="F145" s="108"/>
      <c r="G145" s="108"/>
      <c r="H145" s="108"/>
    </row>
    <row r="146" spans="1:8" ht="15.75" customHeight="1">
      <c r="A146" s="108"/>
      <c r="B146" s="108"/>
      <c r="C146" s="108"/>
      <c r="D146" s="108"/>
      <c r="E146" s="108"/>
      <c r="F146" s="108"/>
      <c r="G146" s="108"/>
      <c r="H146" s="108"/>
    </row>
    <row r="147" spans="1:8" ht="15.75" customHeight="1">
      <c r="A147" s="108"/>
      <c r="B147" s="108"/>
      <c r="C147" s="108"/>
      <c r="D147" s="108"/>
      <c r="E147" s="108"/>
      <c r="F147" s="108"/>
      <c r="G147" s="108"/>
      <c r="H147" s="108"/>
    </row>
    <row r="148" spans="1:8" ht="15.75" customHeight="1">
      <c r="A148" s="108"/>
      <c r="B148" s="108"/>
      <c r="C148" s="108"/>
      <c r="D148" s="108"/>
      <c r="E148" s="108"/>
      <c r="F148" s="108"/>
      <c r="G148" s="108"/>
      <c r="H148" s="108"/>
    </row>
    <row r="149" spans="1:8" ht="15.75" customHeight="1">
      <c r="A149" s="108"/>
      <c r="B149" s="108"/>
      <c r="C149" s="108"/>
      <c r="D149" s="108"/>
      <c r="E149" s="108"/>
      <c r="F149" s="108"/>
      <c r="G149" s="108"/>
      <c r="H149" s="108"/>
    </row>
    <row r="150" spans="1:8" ht="15.75" customHeight="1">
      <c r="A150" s="108"/>
      <c r="B150" s="108"/>
      <c r="C150" s="108"/>
      <c r="D150" s="108"/>
      <c r="E150" s="108"/>
      <c r="F150" s="108"/>
      <c r="G150" s="108"/>
      <c r="H150" s="108"/>
    </row>
    <row r="151" spans="1:8" ht="15.75" customHeight="1">
      <c r="A151" s="108"/>
      <c r="B151" s="108"/>
      <c r="C151" s="108"/>
      <c r="D151" s="108"/>
      <c r="E151" s="108"/>
      <c r="F151" s="108"/>
      <c r="G151" s="108"/>
      <c r="H151" s="108"/>
    </row>
    <row r="152" spans="1:8" ht="15.75" customHeight="1">
      <c r="A152" s="108"/>
      <c r="B152" s="108"/>
      <c r="C152" s="108"/>
      <c r="D152" s="108"/>
      <c r="E152" s="108"/>
      <c r="F152" s="108"/>
      <c r="G152" s="108"/>
      <c r="H152" s="108"/>
    </row>
    <row r="153" spans="1:8" ht="15.75" customHeight="1">
      <c r="A153" s="108"/>
      <c r="B153" s="108"/>
      <c r="C153" s="108"/>
      <c r="D153" s="108"/>
      <c r="E153" s="108"/>
      <c r="F153" s="108"/>
      <c r="G153" s="108"/>
      <c r="H153" s="108"/>
    </row>
    <row r="154" spans="1:8" ht="15.75" customHeight="1">
      <c r="A154" s="108"/>
      <c r="B154" s="108"/>
      <c r="C154" s="108"/>
      <c r="D154" s="108"/>
      <c r="E154" s="108"/>
      <c r="F154" s="108"/>
      <c r="G154" s="108"/>
      <c r="H154" s="108"/>
    </row>
    <row r="155" spans="1:8" ht="15.75" customHeight="1">
      <c r="A155" s="108"/>
      <c r="B155" s="108"/>
      <c r="C155" s="108"/>
      <c r="D155" s="108"/>
      <c r="E155" s="108"/>
      <c r="F155" s="108"/>
      <c r="G155" s="108"/>
      <c r="H155" s="108"/>
    </row>
    <row r="156" spans="1:8" ht="15.75" customHeight="1">
      <c r="A156" s="108"/>
      <c r="B156" s="108"/>
      <c r="C156" s="108"/>
      <c r="D156" s="108"/>
      <c r="E156" s="108"/>
      <c r="F156" s="108"/>
      <c r="G156" s="108"/>
      <c r="H156" s="108"/>
    </row>
    <row r="157" spans="1:8" ht="15.75" customHeight="1">
      <c r="A157" s="108"/>
      <c r="B157" s="108"/>
      <c r="C157" s="108"/>
      <c r="D157" s="108"/>
      <c r="E157" s="108"/>
      <c r="F157" s="108"/>
      <c r="G157" s="108"/>
      <c r="H157" s="108"/>
    </row>
    <row r="158" spans="1:8" ht="15.75" customHeight="1">
      <c r="A158" s="108"/>
      <c r="B158" s="108"/>
      <c r="C158" s="108"/>
      <c r="D158" s="108"/>
      <c r="E158" s="108"/>
      <c r="F158" s="108"/>
      <c r="G158" s="108"/>
      <c r="H158" s="108"/>
    </row>
    <row r="159" spans="1:8" ht="15.75" customHeight="1">
      <c r="A159" s="108"/>
      <c r="B159" s="108"/>
      <c r="C159" s="108"/>
      <c r="D159" s="108"/>
      <c r="E159" s="108"/>
      <c r="F159" s="108"/>
      <c r="G159" s="108"/>
      <c r="H159" s="108"/>
    </row>
    <row r="160" spans="1:8" ht="15.75" customHeight="1">
      <c r="A160" s="108"/>
      <c r="B160" s="108"/>
      <c r="C160" s="108"/>
      <c r="D160" s="108"/>
      <c r="E160" s="108"/>
      <c r="F160" s="108"/>
      <c r="G160" s="108"/>
      <c r="H160" s="108"/>
    </row>
    <row r="161" spans="1:8" ht="15.75" customHeight="1">
      <c r="A161" s="108"/>
      <c r="B161" s="108"/>
      <c r="C161" s="108"/>
      <c r="D161" s="108"/>
      <c r="E161" s="108"/>
      <c r="F161" s="108"/>
      <c r="G161" s="108"/>
      <c r="H161" s="108"/>
    </row>
    <row r="162" spans="1:8" ht="15.75" customHeight="1">
      <c r="A162" s="108"/>
      <c r="B162" s="108"/>
      <c r="C162" s="108"/>
      <c r="D162" s="108"/>
      <c r="E162" s="108"/>
      <c r="F162" s="108"/>
      <c r="G162" s="108"/>
      <c r="H162" s="108"/>
    </row>
    <row r="163" spans="1:8" ht="15.75" customHeight="1">
      <c r="A163" s="108"/>
      <c r="B163" s="108"/>
      <c r="C163" s="108"/>
      <c r="D163" s="108"/>
      <c r="E163" s="108"/>
      <c r="F163" s="108"/>
      <c r="G163" s="108"/>
      <c r="H163" s="108"/>
    </row>
    <row r="164" spans="1:8" ht="15.75" customHeight="1">
      <c r="A164" s="108"/>
      <c r="B164" s="108"/>
      <c r="C164" s="108"/>
      <c r="D164" s="108"/>
      <c r="E164" s="108"/>
      <c r="F164" s="108"/>
      <c r="G164" s="108"/>
      <c r="H164" s="108"/>
    </row>
    <row r="165" spans="1:8" ht="15.75" customHeight="1">
      <c r="A165" s="108"/>
      <c r="B165" s="108"/>
      <c r="C165" s="108"/>
      <c r="D165" s="108"/>
      <c r="E165" s="108"/>
      <c r="F165" s="108"/>
      <c r="G165" s="108"/>
      <c r="H165" s="108"/>
    </row>
    <row r="166" spans="1:8" ht="15.75" customHeight="1">
      <c r="A166" s="108"/>
      <c r="B166" s="108"/>
      <c r="C166" s="108"/>
      <c r="D166" s="108"/>
      <c r="E166" s="108"/>
      <c r="F166" s="108"/>
      <c r="G166" s="108"/>
      <c r="H166" s="108"/>
    </row>
    <row r="167" spans="1:8" ht="15.75" customHeight="1">
      <c r="A167" s="108"/>
      <c r="B167" s="108"/>
      <c r="C167" s="108"/>
      <c r="D167" s="108"/>
      <c r="E167" s="108"/>
      <c r="F167" s="108"/>
      <c r="G167" s="108"/>
      <c r="H167" s="108"/>
    </row>
    <row r="168" spans="1:8" ht="15.75" customHeight="1">
      <c r="A168" s="108"/>
      <c r="B168" s="108"/>
      <c r="C168" s="108"/>
      <c r="D168" s="108"/>
      <c r="E168" s="108"/>
      <c r="F168" s="108"/>
      <c r="G168" s="108"/>
      <c r="H168" s="108"/>
    </row>
    <row r="169" spans="1:8" ht="15.75" customHeight="1">
      <c r="A169" s="108"/>
      <c r="B169" s="108"/>
      <c r="C169" s="108"/>
      <c r="D169" s="108"/>
      <c r="E169" s="108"/>
      <c r="F169" s="108"/>
      <c r="G169" s="108"/>
      <c r="H169" s="108"/>
    </row>
    <row r="170" spans="1:8" ht="15.75" customHeight="1">
      <c r="A170" s="108"/>
      <c r="B170" s="108"/>
      <c r="C170" s="108"/>
      <c r="D170" s="108"/>
      <c r="E170" s="108"/>
      <c r="F170" s="108"/>
      <c r="G170" s="108"/>
      <c r="H170" s="108"/>
    </row>
    <row r="171" spans="1:8" ht="15.75" customHeight="1">
      <c r="A171" s="108"/>
      <c r="B171" s="108"/>
      <c r="C171" s="108"/>
      <c r="D171" s="108"/>
      <c r="E171" s="108"/>
      <c r="F171" s="108"/>
      <c r="G171" s="108"/>
      <c r="H171" s="108"/>
    </row>
    <row r="172" spans="1:8" ht="15.75" customHeight="1">
      <c r="A172" s="108"/>
      <c r="B172" s="108"/>
      <c r="C172" s="108"/>
      <c r="D172" s="108"/>
      <c r="E172" s="108"/>
      <c r="F172" s="108"/>
      <c r="G172" s="108"/>
      <c r="H172" s="108"/>
    </row>
    <row r="173" spans="1:8" ht="15.75" customHeight="1">
      <c r="A173" s="108"/>
      <c r="B173" s="108"/>
      <c r="C173" s="108"/>
      <c r="D173" s="108"/>
      <c r="E173" s="108"/>
      <c r="F173" s="108"/>
      <c r="G173" s="108"/>
      <c r="H173" s="108"/>
    </row>
    <row r="174" spans="1:8" ht="15.75" customHeight="1">
      <c r="A174" s="108"/>
      <c r="B174" s="108"/>
      <c r="C174" s="108"/>
      <c r="D174" s="108"/>
      <c r="E174" s="108"/>
      <c r="F174" s="108"/>
      <c r="G174" s="108"/>
      <c r="H174" s="108"/>
    </row>
    <row r="175" spans="1:8" ht="15.75" customHeight="1">
      <c r="A175" s="108"/>
      <c r="B175" s="108"/>
      <c r="C175" s="108"/>
      <c r="D175" s="108"/>
      <c r="E175" s="108"/>
      <c r="F175" s="108"/>
      <c r="G175" s="108"/>
      <c r="H175" s="108"/>
    </row>
    <row r="176" spans="1:8" ht="15.75" customHeight="1">
      <c r="A176" s="108"/>
      <c r="B176" s="108"/>
      <c r="C176" s="108"/>
      <c r="D176" s="108"/>
      <c r="E176" s="108"/>
      <c r="F176" s="108"/>
      <c r="G176" s="108"/>
      <c r="H176" s="108"/>
    </row>
    <row r="177" spans="1:8" ht="15.75" customHeight="1">
      <c r="A177" s="108"/>
      <c r="B177" s="108"/>
      <c r="C177" s="108"/>
      <c r="D177" s="108"/>
      <c r="E177" s="108"/>
      <c r="F177" s="108"/>
      <c r="G177" s="108"/>
      <c r="H177" s="108"/>
    </row>
    <row r="178" spans="1:8" ht="15.75" customHeight="1">
      <c r="A178" s="108"/>
      <c r="B178" s="108"/>
      <c r="C178" s="108"/>
      <c r="D178" s="108"/>
      <c r="E178" s="108"/>
      <c r="F178" s="108"/>
      <c r="G178" s="108"/>
      <c r="H178" s="108"/>
    </row>
    <row r="179" spans="1:8" ht="15.75" customHeight="1">
      <c r="A179" s="108"/>
      <c r="B179" s="108"/>
      <c r="C179" s="108"/>
      <c r="D179" s="108"/>
      <c r="E179" s="108"/>
      <c r="F179" s="108"/>
      <c r="G179" s="108"/>
      <c r="H179" s="108"/>
    </row>
    <row r="180" spans="1:8" ht="15.75" customHeight="1">
      <c r="A180" s="108"/>
      <c r="B180" s="108"/>
      <c r="C180" s="108"/>
      <c r="D180" s="108"/>
      <c r="E180" s="108"/>
      <c r="F180" s="108"/>
      <c r="G180" s="108"/>
      <c r="H180" s="108"/>
    </row>
    <row r="181" spans="1:8" ht="15.75" customHeight="1">
      <c r="A181" s="108"/>
      <c r="B181" s="108"/>
      <c r="C181" s="108"/>
      <c r="D181" s="108"/>
      <c r="E181" s="108"/>
      <c r="F181" s="108"/>
      <c r="G181" s="108"/>
      <c r="H181" s="108"/>
    </row>
    <row r="182" spans="1:8" ht="15.75" customHeight="1">
      <c r="A182" s="108"/>
      <c r="B182" s="108"/>
      <c r="C182" s="108"/>
      <c r="D182" s="108"/>
      <c r="E182" s="108"/>
      <c r="F182" s="108"/>
      <c r="G182" s="108"/>
      <c r="H182" s="108"/>
    </row>
    <row r="183" spans="1:8" ht="15.75" customHeight="1">
      <c r="A183" s="108"/>
      <c r="B183" s="108"/>
      <c r="C183" s="108"/>
      <c r="D183" s="108"/>
      <c r="E183" s="108"/>
      <c r="F183" s="108"/>
      <c r="G183" s="108"/>
      <c r="H183" s="108"/>
    </row>
    <row r="184" spans="1:8" ht="15.75" customHeight="1">
      <c r="A184" s="108"/>
      <c r="B184" s="108"/>
      <c r="C184" s="108"/>
      <c r="D184" s="108"/>
      <c r="E184" s="108"/>
      <c r="F184" s="108"/>
      <c r="G184" s="108"/>
      <c r="H184" s="108"/>
    </row>
    <row r="185" spans="1:8" ht="15.75" customHeight="1">
      <c r="A185" s="108"/>
      <c r="B185" s="108"/>
      <c r="C185" s="108"/>
      <c r="D185" s="108"/>
      <c r="E185" s="108"/>
      <c r="F185" s="108"/>
      <c r="G185" s="108"/>
      <c r="H185" s="108"/>
    </row>
    <row r="186" spans="1:8" ht="15.75" customHeight="1">
      <c r="A186" s="108"/>
      <c r="B186" s="108"/>
      <c r="C186" s="108"/>
      <c r="D186" s="108"/>
      <c r="E186" s="108"/>
      <c r="F186" s="108"/>
      <c r="G186" s="108"/>
      <c r="H186" s="108"/>
    </row>
    <row r="187" spans="1:8" ht="15.75" customHeight="1">
      <c r="A187" s="108"/>
      <c r="B187" s="108"/>
      <c r="C187" s="108"/>
      <c r="D187" s="108"/>
      <c r="E187" s="108"/>
      <c r="F187" s="108"/>
      <c r="G187" s="108"/>
      <c r="H187" s="108"/>
    </row>
    <row r="188" spans="1:8" ht="15.75" customHeight="1">
      <c r="A188" s="108"/>
      <c r="B188" s="108"/>
      <c r="C188" s="108"/>
      <c r="D188" s="108"/>
      <c r="E188" s="108"/>
      <c r="F188" s="108"/>
      <c r="G188" s="108"/>
      <c r="H188" s="108"/>
    </row>
    <row r="189" spans="1:8" ht="15.75" customHeight="1">
      <c r="A189" s="108"/>
      <c r="B189" s="108"/>
      <c r="C189" s="108"/>
      <c r="D189" s="108"/>
      <c r="E189" s="108"/>
      <c r="F189" s="108"/>
      <c r="G189" s="108"/>
      <c r="H189" s="108"/>
    </row>
    <row r="190" spans="1:8" ht="15.75" customHeight="1">
      <c r="A190" s="108"/>
      <c r="B190" s="108"/>
      <c r="C190" s="108"/>
      <c r="D190" s="108"/>
      <c r="E190" s="108"/>
      <c r="F190" s="108"/>
      <c r="G190" s="108"/>
      <c r="H190" s="108"/>
    </row>
    <row r="191" spans="1:8" ht="15.75" customHeight="1">
      <c r="A191" s="108"/>
      <c r="B191" s="108"/>
      <c r="C191" s="108"/>
      <c r="D191" s="108"/>
      <c r="E191" s="108"/>
      <c r="F191" s="108"/>
      <c r="G191" s="108"/>
      <c r="H191" s="108"/>
    </row>
    <row r="192" spans="1:8" ht="15.75" customHeight="1">
      <c r="A192" s="108"/>
      <c r="B192" s="108"/>
      <c r="C192" s="108"/>
      <c r="D192" s="108"/>
      <c r="E192" s="108"/>
      <c r="F192" s="108"/>
      <c r="G192" s="108"/>
      <c r="H192" s="108"/>
    </row>
    <row r="193" spans="1:8" ht="15.75" customHeight="1">
      <c r="A193" s="108"/>
      <c r="B193" s="108"/>
      <c r="C193" s="108"/>
      <c r="D193" s="108"/>
      <c r="E193" s="108"/>
      <c r="F193" s="108"/>
      <c r="G193" s="108"/>
      <c r="H193" s="108"/>
    </row>
    <row r="194" spans="1:8" ht="15.75" customHeight="1">
      <c r="A194" s="108"/>
      <c r="B194" s="108"/>
      <c r="C194" s="108"/>
      <c r="D194" s="108"/>
      <c r="E194" s="108"/>
      <c r="F194" s="108"/>
      <c r="G194" s="108"/>
      <c r="H194" s="108"/>
    </row>
    <row r="195" spans="1:8" ht="15.75" customHeight="1">
      <c r="A195" s="108"/>
      <c r="B195" s="108"/>
      <c r="C195" s="108"/>
      <c r="D195" s="108"/>
      <c r="E195" s="108"/>
      <c r="F195" s="108"/>
      <c r="G195" s="108"/>
      <c r="H195" s="108"/>
    </row>
    <row r="196" spans="1:8" ht="15.75" customHeight="1">
      <c r="A196" s="108"/>
      <c r="B196" s="108"/>
      <c r="C196" s="108"/>
      <c r="D196" s="108"/>
      <c r="E196" s="108"/>
      <c r="F196" s="108"/>
      <c r="G196" s="108"/>
      <c r="H196" s="108"/>
    </row>
    <row r="197" spans="1:8" ht="15.75" customHeight="1">
      <c r="A197" s="108"/>
      <c r="B197" s="108"/>
      <c r="C197" s="108"/>
      <c r="D197" s="108"/>
      <c r="E197" s="108"/>
      <c r="F197" s="108"/>
      <c r="G197" s="108"/>
      <c r="H197" s="108"/>
    </row>
    <row r="198" spans="1:8" ht="15.75" customHeight="1">
      <c r="A198" s="108"/>
      <c r="B198" s="108"/>
      <c r="C198" s="108"/>
      <c r="D198" s="108"/>
      <c r="E198" s="108"/>
      <c r="F198" s="108"/>
      <c r="G198" s="108"/>
      <c r="H198" s="108"/>
    </row>
    <row r="199" spans="1:8" ht="15.75" customHeight="1">
      <c r="A199" s="108"/>
      <c r="B199" s="108"/>
      <c r="C199" s="108"/>
      <c r="D199" s="108"/>
      <c r="E199" s="108"/>
      <c r="F199" s="108"/>
      <c r="G199" s="108"/>
      <c r="H199" s="108"/>
    </row>
    <row r="200" spans="1:8" ht="15.75" customHeight="1">
      <c r="A200" s="108"/>
      <c r="B200" s="108"/>
      <c r="C200" s="108"/>
      <c r="D200" s="108"/>
      <c r="E200" s="108"/>
      <c r="F200" s="108"/>
      <c r="G200" s="108"/>
      <c r="H200" s="108"/>
    </row>
    <row r="201" spans="1:8" ht="15.75" customHeight="1">
      <c r="A201" s="108"/>
      <c r="B201" s="108"/>
      <c r="C201" s="108"/>
      <c r="D201" s="108"/>
      <c r="E201" s="108"/>
      <c r="F201" s="108"/>
      <c r="G201" s="108"/>
      <c r="H201" s="108"/>
    </row>
    <row r="202" spans="1:8" ht="15.75" customHeight="1">
      <c r="A202" s="108"/>
      <c r="B202" s="108"/>
      <c r="C202" s="108"/>
      <c r="D202" s="108"/>
      <c r="E202" s="108"/>
      <c r="F202" s="108"/>
      <c r="G202" s="108"/>
      <c r="H202" s="108"/>
    </row>
    <row r="203" spans="1:8" ht="15.75" customHeight="1">
      <c r="A203" s="108"/>
      <c r="B203" s="108"/>
      <c r="C203" s="108"/>
      <c r="D203" s="108"/>
      <c r="E203" s="108"/>
      <c r="F203" s="108"/>
      <c r="G203" s="108"/>
      <c r="H203" s="108"/>
    </row>
    <row r="204" spans="1:8" ht="15.75" customHeight="1">
      <c r="A204" s="108"/>
      <c r="B204" s="108"/>
      <c r="C204" s="108"/>
      <c r="D204" s="108"/>
      <c r="E204" s="108"/>
      <c r="F204" s="108"/>
      <c r="G204" s="108"/>
      <c r="H204" s="108"/>
    </row>
    <row r="205" spans="1:8" ht="15.75" customHeight="1">
      <c r="A205" s="108"/>
      <c r="B205" s="108"/>
      <c r="C205" s="108"/>
      <c r="D205" s="108"/>
      <c r="E205" s="108"/>
      <c r="F205" s="108"/>
      <c r="G205" s="108"/>
      <c r="H205" s="108"/>
    </row>
    <row r="206" spans="1:8" ht="15.75" customHeight="1">
      <c r="A206" s="108"/>
      <c r="B206" s="108"/>
      <c r="C206" s="108"/>
      <c r="D206" s="108"/>
      <c r="E206" s="108"/>
      <c r="F206" s="108"/>
      <c r="G206" s="108"/>
      <c r="H206" s="108"/>
    </row>
    <row r="207" spans="1:8" ht="15.75" customHeight="1">
      <c r="A207" s="108"/>
      <c r="B207" s="108"/>
      <c r="C207" s="108"/>
      <c r="D207" s="108"/>
      <c r="E207" s="108"/>
      <c r="F207" s="108"/>
      <c r="G207" s="108"/>
      <c r="H207" s="108"/>
    </row>
    <row r="208" spans="1:8" ht="15.75" customHeight="1">
      <c r="A208" s="108"/>
      <c r="B208" s="108"/>
      <c r="C208" s="108"/>
      <c r="D208" s="108"/>
      <c r="E208" s="108"/>
      <c r="F208" s="108"/>
      <c r="G208" s="108"/>
      <c r="H208" s="108"/>
    </row>
    <row r="209" spans="1:8" ht="15.75" customHeight="1">
      <c r="A209" s="108"/>
      <c r="B209" s="108"/>
      <c r="C209" s="108"/>
      <c r="D209" s="108"/>
      <c r="E209" s="108"/>
      <c r="F209" s="108"/>
      <c r="G209" s="108"/>
      <c r="H209" s="108"/>
    </row>
    <row r="210" spans="1:8" ht="15.75" customHeight="1">
      <c r="A210" s="108"/>
      <c r="B210" s="108"/>
      <c r="C210" s="108"/>
      <c r="D210" s="108"/>
      <c r="E210" s="108"/>
      <c r="F210" s="108"/>
      <c r="G210" s="108"/>
      <c r="H210" s="108"/>
    </row>
    <row r="211" spans="1:8" ht="15.75" customHeight="1">
      <c r="A211" s="108"/>
      <c r="B211" s="108"/>
      <c r="C211" s="108"/>
      <c r="D211" s="108"/>
      <c r="E211" s="108"/>
      <c r="F211" s="108"/>
      <c r="G211" s="108"/>
      <c r="H211" s="108"/>
    </row>
    <row r="212" spans="1:8" ht="15.75" customHeight="1">
      <c r="A212" s="108"/>
      <c r="B212" s="108"/>
      <c r="C212" s="108"/>
      <c r="D212" s="108"/>
      <c r="E212" s="108"/>
      <c r="F212" s="108"/>
      <c r="G212" s="108"/>
      <c r="H212" s="108"/>
    </row>
    <row r="213" spans="1:8" ht="15.75" customHeight="1">
      <c r="A213" s="108"/>
      <c r="B213" s="108"/>
      <c r="C213" s="108"/>
      <c r="D213" s="108"/>
      <c r="E213" s="108"/>
      <c r="F213" s="108"/>
      <c r="G213" s="108"/>
      <c r="H213" s="108"/>
    </row>
    <row r="214" spans="1:8" ht="15.75" customHeight="1">
      <c r="A214" s="108"/>
      <c r="B214" s="108"/>
      <c r="C214" s="108"/>
      <c r="D214" s="108"/>
      <c r="E214" s="108"/>
      <c r="F214" s="108"/>
      <c r="G214" s="108"/>
      <c r="H214" s="108"/>
    </row>
    <row r="215" spans="1:8" ht="15.75" customHeight="1">
      <c r="A215" s="108"/>
      <c r="B215" s="108"/>
      <c r="C215" s="108"/>
      <c r="D215" s="108"/>
      <c r="E215" s="108"/>
      <c r="F215" s="108"/>
      <c r="G215" s="108"/>
      <c r="H215" s="108"/>
    </row>
    <row r="216" spans="1:8" ht="15.75" customHeight="1">
      <c r="A216" s="108"/>
      <c r="B216" s="108"/>
      <c r="C216" s="108"/>
      <c r="D216" s="108"/>
      <c r="E216" s="108"/>
      <c r="F216" s="108"/>
      <c r="G216" s="108"/>
      <c r="H216" s="108"/>
    </row>
    <row r="217" spans="1:8" ht="15.75" customHeight="1">
      <c r="A217" s="108"/>
      <c r="B217" s="108"/>
      <c r="C217" s="108"/>
      <c r="D217" s="108"/>
      <c r="E217" s="108"/>
      <c r="F217" s="108"/>
      <c r="G217" s="108"/>
      <c r="H217" s="108"/>
    </row>
    <row r="218" spans="1:8" ht="15.75" customHeight="1">
      <c r="A218" s="108"/>
      <c r="B218" s="108"/>
      <c r="C218" s="108"/>
      <c r="D218" s="108"/>
      <c r="E218" s="108"/>
      <c r="F218" s="108"/>
      <c r="G218" s="108"/>
      <c r="H218" s="108"/>
    </row>
    <row r="219" spans="1:8" ht="15.75" customHeight="1">
      <c r="A219" s="108"/>
      <c r="B219" s="108"/>
      <c r="C219" s="108"/>
      <c r="D219" s="108"/>
      <c r="E219" s="108"/>
      <c r="F219" s="108"/>
      <c r="G219" s="108"/>
      <c r="H219" s="108"/>
    </row>
    <row r="220" spans="1:8" ht="15.75" customHeight="1">
      <c r="A220" s="108"/>
      <c r="B220" s="108"/>
      <c r="C220" s="108"/>
      <c r="D220" s="108"/>
      <c r="E220" s="108"/>
      <c r="F220" s="108"/>
      <c r="G220" s="108"/>
      <c r="H220" s="108"/>
    </row>
    <row r="221" spans="1:8" ht="15.75" customHeight="1">
      <c r="A221" s="108"/>
      <c r="B221" s="108"/>
      <c r="C221" s="108"/>
      <c r="D221" s="108"/>
      <c r="E221" s="108"/>
      <c r="F221" s="108"/>
      <c r="G221" s="108"/>
      <c r="H221" s="108"/>
    </row>
    <row r="222" spans="1:8" ht="15.75" customHeight="1">
      <c r="A222" s="108"/>
      <c r="B222" s="108"/>
      <c r="C222" s="108"/>
      <c r="D222" s="108"/>
      <c r="E222" s="108"/>
      <c r="F222" s="108"/>
      <c r="G222" s="108"/>
      <c r="H222" s="108"/>
    </row>
    <row r="223" spans="1:8" ht="15.75" customHeight="1">
      <c r="A223" s="108"/>
      <c r="B223" s="108"/>
      <c r="C223" s="108"/>
      <c r="D223" s="108"/>
      <c r="E223" s="108"/>
      <c r="F223" s="108"/>
      <c r="G223" s="108"/>
      <c r="H223" s="108"/>
    </row>
    <row r="224" spans="1:8" ht="15.75" customHeight="1">
      <c r="A224" s="108"/>
      <c r="B224" s="108"/>
      <c r="C224" s="108"/>
      <c r="D224" s="108"/>
      <c r="E224" s="108"/>
      <c r="F224" s="108"/>
      <c r="G224" s="108"/>
      <c r="H224" s="108"/>
    </row>
    <row r="225" spans="1:8" ht="15.75" customHeight="1">
      <c r="A225" s="108"/>
      <c r="B225" s="108"/>
      <c r="C225" s="108"/>
      <c r="D225" s="108"/>
      <c r="E225" s="108"/>
      <c r="F225" s="108"/>
      <c r="G225" s="108"/>
      <c r="H225" s="108"/>
    </row>
    <row r="226" spans="1:8" ht="15.75" customHeight="1">
      <c r="A226" s="108"/>
      <c r="B226" s="108"/>
      <c r="C226" s="108"/>
      <c r="D226" s="108"/>
      <c r="E226" s="108"/>
      <c r="F226" s="108"/>
      <c r="G226" s="108"/>
      <c r="H226" s="108"/>
    </row>
    <row r="227" spans="1:8" ht="15.75" customHeight="1">
      <c r="A227" s="108"/>
      <c r="B227" s="108"/>
      <c r="C227" s="108"/>
      <c r="D227" s="108"/>
      <c r="E227" s="108"/>
      <c r="F227" s="108"/>
      <c r="G227" s="108"/>
      <c r="H227" s="108"/>
    </row>
    <row r="228" spans="1:8" ht="15.75" customHeight="1">
      <c r="A228" s="108"/>
      <c r="B228" s="108"/>
      <c r="C228" s="108"/>
      <c r="D228" s="108"/>
      <c r="E228" s="108"/>
      <c r="F228" s="108"/>
      <c r="G228" s="108"/>
      <c r="H228" s="108"/>
    </row>
    <row r="229" spans="1:8" ht="15.75" customHeight="1">
      <c r="A229" s="108"/>
      <c r="B229" s="108"/>
      <c r="C229" s="108"/>
      <c r="D229" s="108"/>
      <c r="E229" s="108"/>
      <c r="F229" s="108"/>
      <c r="G229" s="108"/>
      <c r="H229" s="108"/>
    </row>
    <row r="230" spans="1:8" ht="15.75" customHeight="1">
      <c r="A230" s="108"/>
      <c r="B230" s="108"/>
      <c r="C230" s="108"/>
      <c r="D230" s="108"/>
      <c r="E230" s="108"/>
      <c r="F230" s="108"/>
      <c r="G230" s="108"/>
      <c r="H230" s="108"/>
    </row>
    <row r="231" spans="1:8" ht="15.75" customHeight="1">
      <c r="A231" s="108"/>
      <c r="B231" s="108"/>
      <c r="C231" s="108"/>
      <c r="D231" s="108"/>
      <c r="E231" s="108"/>
      <c r="F231" s="108"/>
      <c r="G231" s="108"/>
      <c r="H231" s="108"/>
    </row>
    <row r="232" spans="1:8" ht="15.75" customHeight="1">
      <c r="A232" s="108"/>
      <c r="B232" s="108"/>
      <c r="C232" s="108"/>
      <c r="D232" s="108"/>
      <c r="E232" s="108"/>
      <c r="F232" s="108"/>
      <c r="G232" s="108"/>
      <c r="H232" s="108"/>
    </row>
    <row r="233" spans="1:8" ht="15.75" customHeight="1">
      <c r="A233" s="108"/>
      <c r="B233" s="108"/>
      <c r="C233" s="108"/>
      <c r="D233" s="108"/>
      <c r="E233" s="108"/>
      <c r="F233" s="108"/>
      <c r="G233" s="108"/>
      <c r="H233" s="108"/>
    </row>
    <row r="234" spans="1:8" ht="15.75" customHeight="1">
      <c r="A234" s="108"/>
      <c r="B234" s="108"/>
      <c r="C234" s="108"/>
      <c r="D234" s="108"/>
      <c r="E234" s="108"/>
      <c r="F234" s="108"/>
      <c r="G234" s="108"/>
      <c r="H234" s="108"/>
    </row>
    <row r="235" spans="1:8" ht="15.75" customHeight="1">
      <c r="A235" s="108"/>
      <c r="B235" s="108"/>
      <c r="C235" s="108"/>
      <c r="D235" s="108"/>
      <c r="E235" s="108"/>
      <c r="F235" s="108"/>
      <c r="G235" s="108"/>
      <c r="H235" s="108"/>
    </row>
    <row r="236" spans="1:8" ht="15.75" customHeight="1">
      <c r="A236" s="108"/>
      <c r="B236" s="108"/>
      <c r="C236" s="108"/>
      <c r="D236" s="108"/>
      <c r="E236" s="108"/>
      <c r="F236" s="108"/>
      <c r="G236" s="108"/>
      <c r="H236" s="108"/>
    </row>
    <row r="237" spans="1:8" ht="15.75" customHeight="1">
      <c r="A237" s="108"/>
      <c r="B237" s="108"/>
      <c r="C237" s="108"/>
      <c r="D237" s="108"/>
      <c r="E237" s="108"/>
      <c r="F237" s="108"/>
      <c r="G237" s="108"/>
      <c r="H237" s="108"/>
    </row>
    <row r="238" spans="1:8" ht="15.75" customHeight="1">
      <c r="A238" s="108"/>
      <c r="B238" s="108"/>
      <c r="C238" s="108"/>
      <c r="D238" s="108"/>
      <c r="E238" s="108"/>
      <c r="F238" s="108"/>
      <c r="G238" s="108"/>
      <c r="H238" s="108"/>
    </row>
    <row r="239" spans="1:8" ht="15.75" customHeight="1">
      <c r="A239" s="108"/>
      <c r="B239" s="108"/>
      <c r="C239" s="108"/>
      <c r="D239" s="108"/>
      <c r="E239" s="108"/>
      <c r="F239" s="108"/>
      <c r="G239" s="108"/>
      <c r="H239" s="108"/>
    </row>
    <row r="240" spans="1:8" ht="15.75" customHeight="1">
      <c r="A240" s="108"/>
      <c r="B240" s="108"/>
      <c r="C240" s="108"/>
      <c r="D240" s="108"/>
      <c r="E240" s="108"/>
      <c r="F240" s="108"/>
      <c r="G240" s="108"/>
      <c r="H240" s="108"/>
    </row>
    <row r="241" spans="1:8" ht="15.75" customHeight="1">
      <c r="A241" s="108"/>
      <c r="B241" s="108"/>
      <c r="C241" s="108"/>
      <c r="D241" s="108"/>
      <c r="E241" s="108"/>
      <c r="F241" s="108"/>
      <c r="G241" s="108"/>
      <c r="H241" s="108"/>
    </row>
    <row r="242" spans="1:8" ht="15.75" customHeight="1">
      <c r="A242" s="108"/>
      <c r="B242" s="108"/>
      <c r="C242" s="108"/>
      <c r="D242" s="108"/>
      <c r="E242" s="108"/>
      <c r="F242" s="108"/>
      <c r="G242" s="108"/>
      <c r="H242" s="108"/>
    </row>
    <row r="243" spans="1:8" ht="15.75" customHeight="1">
      <c r="A243" s="108"/>
      <c r="B243" s="108"/>
      <c r="C243" s="108"/>
      <c r="D243" s="108"/>
      <c r="E243" s="108"/>
      <c r="F243" s="108"/>
      <c r="G243" s="108"/>
      <c r="H243" s="108"/>
    </row>
    <row r="244" spans="1:8" ht="15.75" customHeight="1">
      <c r="A244" s="108"/>
      <c r="B244" s="108"/>
      <c r="C244" s="108"/>
      <c r="D244" s="108"/>
      <c r="E244" s="108"/>
      <c r="F244" s="108"/>
      <c r="G244" s="108"/>
      <c r="H244" s="108"/>
    </row>
    <row r="245" spans="1:8" ht="15.75" customHeight="1">
      <c r="A245" s="108"/>
      <c r="B245" s="108"/>
      <c r="C245" s="108"/>
      <c r="D245" s="108"/>
      <c r="E245" s="108"/>
      <c r="F245" s="108"/>
      <c r="G245" s="108"/>
      <c r="H245" s="108"/>
    </row>
    <row r="246" spans="1:8" ht="15.75" customHeight="1">
      <c r="A246" s="108"/>
      <c r="B246" s="108"/>
      <c r="C246" s="108"/>
      <c r="D246" s="108"/>
      <c r="E246" s="108"/>
      <c r="F246" s="108"/>
      <c r="G246" s="108"/>
      <c r="H246" s="108"/>
    </row>
    <row r="247" spans="1:8" ht="15.75" customHeight="1">
      <c r="A247" s="108"/>
      <c r="B247" s="108"/>
      <c r="C247" s="108"/>
      <c r="D247" s="108"/>
      <c r="E247" s="108"/>
      <c r="F247" s="108"/>
      <c r="G247" s="108"/>
      <c r="H247" s="108"/>
    </row>
    <row r="248" spans="1:8" ht="15.75" customHeight="1">
      <c r="A248" s="108"/>
      <c r="B248" s="108"/>
      <c r="C248" s="108"/>
      <c r="D248" s="108"/>
      <c r="E248" s="108"/>
      <c r="F248" s="108"/>
      <c r="G248" s="108"/>
      <c r="H248" s="108"/>
    </row>
    <row r="249" spans="1:8" ht="15.75" customHeight="1">
      <c r="A249" s="108"/>
      <c r="B249" s="108"/>
      <c r="C249" s="108"/>
      <c r="D249" s="108"/>
      <c r="E249" s="108"/>
      <c r="F249" s="108"/>
      <c r="G249" s="108"/>
      <c r="H249" s="108"/>
    </row>
    <row r="250" spans="1:8" ht="15.75" customHeight="1">
      <c r="A250" s="108"/>
      <c r="B250" s="108"/>
      <c r="C250" s="108"/>
      <c r="D250" s="108"/>
      <c r="E250" s="108"/>
      <c r="F250" s="108"/>
      <c r="G250" s="108"/>
      <c r="H250" s="108"/>
    </row>
    <row r="251" spans="1:8" ht="15.75" customHeight="1">
      <c r="A251" s="108"/>
      <c r="B251" s="108"/>
      <c r="C251" s="108"/>
      <c r="D251" s="108"/>
      <c r="E251" s="108"/>
      <c r="F251" s="108"/>
      <c r="G251" s="108"/>
      <c r="H251" s="108"/>
    </row>
    <row r="252" spans="1:8" ht="15.75" customHeight="1">
      <c r="A252" s="108"/>
      <c r="B252" s="108"/>
      <c r="C252" s="108"/>
      <c r="D252" s="108"/>
      <c r="E252" s="108"/>
      <c r="F252" s="108"/>
      <c r="G252" s="108"/>
      <c r="H252" s="108"/>
    </row>
    <row r="253" spans="1:8" ht="15.75" customHeight="1">
      <c r="A253" s="108"/>
      <c r="B253" s="108"/>
      <c r="C253" s="108"/>
      <c r="D253" s="108"/>
      <c r="E253" s="108"/>
      <c r="F253" s="108"/>
      <c r="G253" s="108"/>
      <c r="H253" s="108"/>
    </row>
    <row r="254" spans="1:8" ht="15.75" customHeight="1">
      <c r="A254" s="108"/>
      <c r="B254" s="108"/>
      <c r="C254" s="108"/>
      <c r="D254" s="108"/>
      <c r="E254" s="108"/>
      <c r="F254" s="108"/>
      <c r="G254" s="108"/>
      <c r="H254" s="108"/>
    </row>
    <row r="255" spans="1:8" ht="15.75" customHeight="1">
      <c r="A255" s="108"/>
      <c r="B255" s="108"/>
      <c r="C255" s="108"/>
      <c r="D255" s="108"/>
      <c r="E255" s="108"/>
      <c r="F255" s="108"/>
      <c r="G255" s="108"/>
      <c r="H255" s="108"/>
    </row>
    <row r="256" spans="1:8" ht="15.75" customHeight="1">
      <c r="A256" s="108"/>
      <c r="B256" s="108"/>
      <c r="C256" s="108"/>
      <c r="D256" s="108"/>
      <c r="E256" s="108"/>
      <c r="F256" s="108"/>
      <c r="G256" s="108"/>
      <c r="H256" s="108"/>
    </row>
    <row r="257" spans="1:8" ht="15.75" customHeight="1">
      <c r="A257" s="108"/>
      <c r="B257" s="108"/>
      <c r="C257" s="108"/>
      <c r="D257" s="108"/>
      <c r="E257" s="108"/>
      <c r="F257" s="108"/>
      <c r="G257" s="108"/>
      <c r="H257" s="108"/>
    </row>
    <row r="258" spans="1:8" ht="15.75" customHeight="1">
      <c r="A258" s="108"/>
      <c r="B258" s="108"/>
      <c r="C258" s="108"/>
      <c r="D258" s="108"/>
      <c r="E258" s="108"/>
      <c r="F258" s="108"/>
      <c r="G258" s="108"/>
      <c r="H258" s="108"/>
    </row>
    <row r="259" spans="1:8" ht="15.75" customHeight="1">
      <c r="A259" s="108"/>
      <c r="B259" s="108"/>
      <c r="C259" s="108"/>
      <c r="D259" s="108"/>
      <c r="E259" s="108"/>
      <c r="F259" s="108"/>
      <c r="G259" s="108"/>
      <c r="H259" s="108"/>
    </row>
    <row r="260" spans="1:8" ht="15.75" customHeight="1">
      <c r="A260" s="108"/>
      <c r="B260" s="108"/>
      <c r="C260" s="108"/>
      <c r="D260" s="108"/>
      <c r="E260" s="108"/>
      <c r="F260" s="108"/>
      <c r="G260" s="108"/>
      <c r="H260" s="108"/>
    </row>
    <row r="261" spans="1:8" ht="15.75" customHeight="1">
      <c r="A261" s="108"/>
      <c r="B261" s="108"/>
      <c r="C261" s="108"/>
      <c r="D261" s="108"/>
      <c r="E261" s="108"/>
      <c r="F261" s="108"/>
      <c r="G261" s="108"/>
      <c r="H261" s="108"/>
    </row>
    <row r="262" spans="1:8" ht="15.75" customHeight="1">
      <c r="A262" s="108"/>
      <c r="B262" s="108"/>
      <c r="C262" s="108"/>
      <c r="D262" s="108"/>
      <c r="E262" s="108"/>
      <c r="F262" s="108"/>
      <c r="G262" s="108"/>
      <c r="H262" s="108"/>
    </row>
    <row r="263" spans="1:8" ht="15.75" customHeight="1">
      <c r="A263" s="108"/>
      <c r="B263" s="108"/>
      <c r="C263" s="108"/>
      <c r="D263" s="108"/>
      <c r="E263" s="108"/>
      <c r="F263" s="108"/>
      <c r="G263" s="108"/>
      <c r="H263" s="108"/>
    </row>
    <row r="264" spans="1:8" ht="15.75" customHeight="1">
      <c r="A264" s="108"/>
      <c r="B264" s="108"/>
      <c r="C264" s="108"/>
      <c r="D264" s="108"/>
      <c r="E264" s="108"/>
      <c r="F264" s="108"/>
      <c r="G264" s="108"/>
      <c r="H264" s="108"/>
    </row>
    <row r="265" spans="1:8" ht="15.75" customHeight="1">
      <c r="A265" s="108"/>
      <c r="B265" s="108"/>
      <c r="C265" s="108"/>
      <c r="D265" s="108"/>
      <c r="E265" s="108"/>
      <c r="F265" s="108"/>
      <c r="G265" s="108"/>
      <c r="H265" s="108"/>
    </row>
    <row r="266" spans="1:8" ht="15.75" customHeight="1">
      <c r="A266" s="108"/>
      <c r="B266" s="108"/>
      <c r="C266" s="108"/>
      <c r="D266" s="108"/>
      <c r="E266" s="108"/>
      <c r="F266" s="108"/>
      <c r="G266" s="108"/>
      <c r="H266" s="108"/>
    </row>
    <row r="267" spans="1:8" ht="15.75" customHeight="1">
      <c r="A267" s="108"/>
      <c r="B267" s="108"/>
      <c r="C267" s="108"/>
      <c r="D267" s="108"/>
      <c r="E267" s="108"/>
      <c r="F267" s="108"/>
      <c r="G267" s="108"/>
      <c r="H267" s="108"/>
    </row>
    <row r="268" spans="1:8" ht="15.75" customHeight="1">
      <c r="A268" s="108"/>
      <c r="B268" s="108"/>
      <c r="C268" s="108"/>
      <c r="D268" s="108"/>
      <c r="E268" s="108"/>
      <c r="F268" s="108"/>
      <c r="G268" s="108"/>
      <c r="H268" s="108"/>
    </row>
    <row r="269" spans="1:8" ht="15.75" customHeight="1">
      <c r="A269" s="108"/>
      <c r="B269" s="108"/>
      <c r="C269" s="108"/>
      <c r="D269" s="108"/>
      <c r="E269" s="108"/>
      <c r="F269" s="108"/>
      <c r="G269" s="108"/>
      <c r="H269" s="108"/>
    </row>
    <row r="270" spans="1:8" ht="15.75" customHeight="1">
      <c r="A270" s="108"/>
      <c r="B270" s="108"/>
      <c r="C270" s="108"/>
      <c r="D270" s="108"/>
      <c r="E270" s="108"/>
      <c r="F270" s="108"/>
      <c r="G270" s="108"/>
      <c r="H270" s="108"/>
    </row>
    <row r="271" spans="1:8" ht="15.75" customHeight="1">
      <c r="A271" s="108"/>
      <c r="B271" s="108"/>
      <c r="C271" s="108"/>
      <c r="D271" s="108"/>
      <c r="E271" s="108"/>
      <c r="F271" s="108"/>
      <c r="G271" s="108"/>
      <c r="H271" s="108"/>
    </row>
    <row r="272" spans="1:8" ht="15.75" customHeight="1">
      <c r="A272" s="108"/>
      <c r="B272" s="108"/>
      <c r="C272" s="108"/>
      <c r="D272" s="108"/>
      <c r="E272" s="108"/>
      <c r="F272" s="108"/>
      <c r="G272" s="108"/>
      <c r="H272" s="108"/>
    </row>
    <row r="273" spans="1:8" ht="15.75" customHeight="1">
      <c r="A273" s="108"/>
      <c r="B273" s="108"/>
      <c r="C273" s="108"/>
      <c r="D273" s="108"/>
      <c r="E273" s="108"/>
      <c r="F273" s="108"/>
      <c r="G273" s="108"/>
      <c r="H273" s="108"/>
    </row>
    <row r="274" spans="1:8" ht="15.75" customHeight="1">
      <c r="A274" s="108"/>
      <c r="B274" s="108"/>
      <c r="C274" s="108"/>
      <c r="D274" s="108"/>
      <c r="E274" s="108"/>
      <c r="F274" s="108"/>
      <c r="G274" s="108"/>
      <c r="H274" s="108"/>
    </row>
    <row r="275" spans="1:8" ht="15.75" customHeight="1">
      <c r="A275" s="108"/>
      <c r="B275" s="108"/>
      <c r="C275" s="108"/>
      <c r="D275" s="108"/>
      <c r="E275" s="108"/>
      <c r="F275" s="108"/>
      <c r="G275" s="108"/>
      <c r="H275" s="108"/>
    </row>
    <row r="276" spans="1:8" ht="15.75" customHeight="1">
      <c r="A276" s="108"/>
      <c r="B276" s="108"/>
      <c r="C276" s="108"/>
      <c r="D276" s="108"/>
      <c r="E276" s="108"/>
      <c r="F276" s="108"/>
      <c r="G276" s="108"/>
      <c r="H276" s="108"/>
    </row>
    <row r="277" spans="1:8" ht="15.75" customHeight="1">
      <c r="A277" s="108"/>
      <c r="B277" s="108"/>
      <c r="C277" s="108"/>
      <c r="D277" s="108"/>
      <c r="E277" s="108"/>
      <c r="F277" s="108"/>
      <c r="G277" s="108"/>
      <c r="H277" s="108"/>
    </row>
    <row r="278" spans="1:8" ht="15.75" customHeight="1">
      <c r="A278" s="108"/>
      <c r="B278" s="108"/>
      <c r="C278" s="108"/>
      <c r="D278" s="108"/>
      <c r="E278" s="108"/>
      <c r="F278" s="108"/>
      <c r="G278" s="108"/>
      <c r="H278" s="108"/>
    </row>
    <row r="279" spans="1:8" ht="15.75" customHeight="1">
      <c r="A279" s="108"/>
      <c r="B279" s="108"/>
      <c r="C279" s="108"/>
      <c r="D279" s="108"/>
      <c r="E279" s="108"/>
      <c r="F279" s="108"/>
      <c r="G279" s="108"/>
      <c r="H279" s="108"/>
    </row>
    <row r="280" spans="1:8" ht="15.75" customHeight="1">
      <c r="A280" s="108"/>
      <c r="B280" s="108"/>
      <c r="C280" s="108"/>
      <c r="D280" s="108"/>
      <c r="E280" s="108"/>
      <c r="F280" s="108"/>
      <c r="G280" s="108"/>
      <c r="H280" s="108"/>
    </row>
    <row r="281" spans="1:8" ht="15.75" customHeight="1">
      <c r="A281" s="108"/>
      <c r="B281" s="108"/>
      <c r="C281" s="108"/>
      <c r="D281" s="108"/>
      <c r="E281" s="108"/>
      <c r="F281" s="108"/>
      <c r="G281" s="108"/>
      <c r="H281" s="108"/>
    </row>
    <row r="282" spans="1:8" ht="15.75" customHeight="1">
      <c r="A282" s="108"/>
      <c r="B282" s="108"/>
      <c r="C282" s="108"/>
      <c r="D282" s="108"/>
      <c r="E282" s="108"/>
      <c r="F282" s="108"/>
      <c r="G282" s="108"/>
      <c r="H282" s="108"/>
    </row>
    <row r="283" spans="1:8" ht="15.75" customHeight="1">
      <c r="A283" s="108"/>
      <c r="B283" s="108"/>
      <c r="C283" s="108"/>
      <c r="D283" s="108"/>
      <c r="E283" s="108"/>
      <c r="F283" s="108"/>
      <c r="G283" s="108"/>
      <c r="H283" s="108"/>
    </row>
    <row r="284" spans="1:8" ht="15.75" customHeight="1">
      <c r="A284" s="108"/>
      <c r="B284" s="108"/>
      <c r="C284" s="108"/>
      <c r="D284" s="108"/>
      <c r="E284" s="108"/>
      <c r="F284" s="108"/>
      <c r="G284" s="108"/>
      <c r="H284" s="108"/>
    </row>
    <row r="285" spans="1:8" ht="15.75" customHeight="1">
      <c r="A285" s="108"/>
      <c r="B285" s="108"/>
      <c r="C285" s="108"/>
      <c r="D285" s="108"/>
      <c r="E285" s="108"/>
      <c r="F285" s="108"/>
      <c r="G285" s="108"/>
      <c r="H285" s="108"/>
    </row>
    <row r="286" spans="1:8" ht="15.75" customHeight="1">
      <c r="A286" s="108"/>
      <c r="B286" s="108"/>
      <c r="C286" s="108"/>
      <c r="D286" s="108"/>
      <c r="E286" s="108"/>
      <c r="F286" s="108"/>
      <c r="G286" s="108"/>
      <c r="H286" s="108"/>
    </row>
    <row r="287" spans="1:8" ht="15.75" customHeight="1">
      <c r="A287" s="108"/>
      <c r="B287" s="108"/>
      <c r="C287" s="108"/>
      <c r="D287" s="108"/>
      <c r="E287" s="108"/>
      <c r="F287" s="108"/>
      <c r="G287" s="108"/>
      <c r="H287" s="108"/>
    </row>
    <row r="288" spans="1:8" ht="15.75" customHeight="1">
      <c r="A288" s="108"/>
      <c r="B288" s="108"/>
      <c r="C288" s="108"/>
      <c r="D288" s="108"/>
      <c r="E288" s="108"/>
      <c r="F288" s="108"/>
      <c r="G288" s="108"/>
      <c r="H288" s="108"/>
    </row>
    <row r="289" spans="1:8" ht="15.75" customHeight="1">
      <c r="A289" s="108"/>
      <c r="B289" s="108"/>
      <c r="C289" s="108"/>
      <c r="D289" s="108"/>
      <c r="E289" s="108"/>
      <c r="F289" s="108"/>
      <c r="G289" s="108"/>
      <c r="H289" s="108"/>
    </row>
    <row r="290" spans="1:8" ht="15.75" customHeight="1">
      <c r="A290" s="108"/>
      <c r="B290" s="108"/>
      <c r="C290" s="108"/>
      <c r="D290" s="108"/>
      <c r="E290" s="108"/>
      <c r="F290" s="108"/>
      <c r="G290" s="108"/>
      <c r="H290" s="108"/>
    </row>
    <row r="291" spans="1:8" ht="15.75" customHeight="1">
      <c r="A291" s="108"/>
      <c r="B291" s="108"/>
      <c r="C291" s="108"/>
      <c r="D291" s="108"/>
      <c r="E291" s="108"/>
      <c r="F291" s="108"/>
      <c r="G291" s="108"/>
      <c r="H291" s="108"/>
    </row>
    <row r="292" spans="1:8" ht="15.75" customHeight="1">
      <c r="A292" s="108"/>
      <c r="B292" s="108"/>
      <c r="C292" s="108"/>
      <c r="D292" s="108"/>
      <c r="E292" s="108"/>
      <c r="F292" s="108"/>
      <c r="G292" s="108"/>
      <c r="H292" s="108"/>
    </row>
    <row r="293" spans="1:8" ht="15.75" customHeight="1">
      <c r="A293" s="108"/>
      <c r="B293" s="108"/>
      <c r="C293" s="108"/>
      <c r="D293" s="108"/>
      <c r="E293" s="108"/>
      <c r="F293" s="108"/>
      <c r="G293" s="108"/>
      <c r="H293" s="108"/>
    </row>
    <row r="294" spans="1:8" ht="15.75" customHeight="1">
      <c r="A294" s="108"/>
      <c r="B294" s="108"/>
      <c r="C294" s="108"/>
      <c r="D294" s="108"/>
      <c r="E294" s="108"/>
      <c r="F294" s="108"/>
      <c r="G294" s="108"/>
      <c r="H294" s="108"/>
    </row>
    <row r="295" spans="1:8" ht="15.75" customHeight="1">
      <c r="A295" s="108"/>
      <c r="B295" s="108"/>
      <c r="C295" s="108"/>
      <c r="D295" s="108"/>
      <c r="E295" s="108"/>
      <c r="F295" s="108"/>
      <c r="G295" s="108"/>
      <c r="H295" s="108"/>
    </row>
    <row r="296" spans="1:8" ht="15.75" customHeight="1">
      <c r="A296" s="108"/>
      <c r="B296" s="108"/>
      <c r="C296" s="108"/>
      <c r="D296" s="108"/>
      <c r="E296" s="108"/>
      <c r="F296" s="108"/>
      <c r="G296" s="108"/>
      <c r="H296" s="108"/>
    </row>
    <row r="297" spans="1:8" ht="15.75" customHeight="1">
      <c r="A297" s="108"/>
      <c r="B297" s="108"/>
      <c r="C297" s="108"/>
      <c r="D297" s="108"/>
      <c r="E297" s="108"/>
      <c r="F297" s="108"/>
      <c r="G297" s="108"/>
      <c r="H297" s="108"/>
    </row>
    <row r="298" spans="1:8" ht="15.75" customHeight="1">
      <c r="A298" s="108"/>
      <c r="B298" s="108"/>
      <c r="C298" s="108"/>
      <c r="D298" s="108"/>
      <c r="E298" s="108"/>
      <c r="F298" s="108"/>
      <c r="G298" s="108"/>
      <c r="H298" s="108"/>
    </row>
    <row r="299" spans="1:8" ht="15.75" customHeight="1">
      <c r="A299" s="108"/>
      <c r="B299" s="108"/>
      <c r="C299" s="108"/>
      <c r="D299" s="108"/>
      <c r="E299" s="108"/>
      <c r="F299" s="108"/>
      <c r="G299" s="108"/>
      <c r="H299" s="108"/>
    </row>
    <row r="300" spans="1:8" ht="15.75" customHeight="1">
      <c r="A300" s="108"/>
      <c r="B300" s="108"/>
      <c r="C300" s="108"/>
      <c r="D300" s="108"/>
      <c r="E300" s="108"/>
      <c r="F300" s="108"/>
      <c r="G300" s="108"/>
      <c r="H300" s="108"/>
    </row>
    <row r="301" spans="1:8" ht="15.75" customHeight="1">
      <c r="A301" s="108"/>
      <c r="B301" s="108"/>
      <c r="C301" s="108"/>
      <c r="D301" s="108"/>
      <c r="E301" s="108"/>
      <c r="F301" s="108"/>
      <c r="G301" s="108"/>
      <c r="H301" s="108"/>
    </row>
    <row r="302" spans="1:8" ht="15.75" customHeight="1">
      <c r="A302" s="108"/>
      <c r="B302" s="108"/>
      <c r="C302" s="108"/>
      <c r="D302" s="108"/>
      <c r="E302" s="108"/>
      <c r="F302" s="108"/>
      <c r="G302" s="108"/>
      <c r="H302" s="108"/>
    </row>
    <row r="303" spans="1:8" ht="15.75" customHeight="1">
      <c r="A303" s="108"/>
      <c r="B303" s="108"/>
      <c r="C303" s="108"/>
      <c r="D303" s="108"/>
      <c r="E303" s="108"/>
      <c r="F303" s="108"/>
      <c r="G303" s="108"/>
      <c r="H303" s="108"/>
    </row>
    <row r="304" spans="1:8" ht="15.75" customHeight="1">
      <c r="A304" s="108"/>
      <c r="B304" s="108"/>
      <c r="C304" s="108"/>
      <c r="D304" s="108"/>
      <c r="E304" s="108"/>
      <c r="F304" s="108"/>
      <c r="G304" s="108"/>
      <c r="H304" s="108"/>
    </row>
    <row r="305" spans="1:8" ht="15.75" customHeight="1">
      <c r="A305" s="108"/>
      <c r="B305" s="108"/>
      <c r="C305" s="108"/>
      <c r="D305" s="108"/>
      <c r="E305" s="108"/>
      <c r="F305" s="108"/>
      <c r="G305" s="108"/>
      <c r="H305" s="108"/>
    </row>
    <row r="306" spans="1:8" ht="15.75" customHeight="1">
      <c r="A306" s="108"/>
      <c r="B306" s="108"/>
      <c r="C306" s="108"/>
      <c r="D306" s="108"/>
      <c r="E306" s="108"/>
      <c r="F306" s="108"/>
      <c r="G306" s="108"/>
      <c r="H306" s="108"/>
    </row>
    <row r="307" spans="1:8" ht="15.75" customHeight="1">
      <c r="A307" s="108"/>
      <c r="B307" s="108"/>
      <c r="C307" s="108"/>
      <c r="D307" s="108"/>
      <c r="E307" s="108"/>
      <c r="F307" s="108"/>
      <c r="G307" s="108"/>
      <c r="H307" s="108"/>
    </row>
    <row r="308" spans="1:8" ht="15.75" customHeight="1">
      <c r="A308" s="108"/>
      <c r="B308" s="108"/>
      <c r="C308" s="108"/>
      <c r="D308" s="108"/>
      <c r="E308" s="108"/>
      <c r="F308" s="108"/>
      <c r="G308" s="108"/>
      <c r="H308" s="108"/>
    </row>
    <row r="309" spans="1:8" ht="15.75" customHeight="1">
      <c r="A309" s="108"/>
      <c r="B309" s="108"/>
      <c r="C309" s="108"/>
      <c r="D309" s="108"/>
      <c r="E309" s="108"/>
      <c r="F309" s="108"/>
      <c r="G309" s="108"/>
      <c r="H309" s="108"/>
    </row>
    <row r="310" spans="1:8" ht="15.75" customHeight="1">
      <c r="A310" s="108"/>
      <c r="B310" s="108"/>
      <c r="C310" s="108"/>
      <c r="D310" s="108"/>
      <c r="E310" s="108"/>
      <c r="F310" s="108"/>
      <c r="G310" s="108"/>
      <c r="H310" s="108"/>
    </row>
    <row r="311" spans="1:8" ht="15.75" customHeight="1">
      <c r="A311" s="108"/>
      <c r="B311" s="108"/>
      <c r="C311" s="108"/>
      <c r="D311" s="108"/>
      <c r="E311" s="108"/>
      <c r="F311" s="108"/>
      <c r="G311" s="108"/>
      <c r="H311" s="108"/>
    </row>
    <row r="312" spans="1:8" ht="15.75" customHeight="1">
      <c r="A312" s="108"/>
      <c r="B312" s="108"/>
      <c r="C312" s="108"/>
      <c r="D312" s="108"/>
      <c r="E312" s="108"/>
      <c r="F312" s="108"/>
      <c r="G312" s="108"/>
      <c r="H312" s="108"/>
    </row>
    <row r="313" spans="1:8" ht="15.75" customHeight="1">
      <c r="A313" s="108"/>
      <c r="B313" s="108"/>
      <c r="C313" s="108"/>
      <c r="D313" s="108"/>
      <c r="E313" s="108"/>
      <c r="F313" s="108"/>
      <c r="G313" s="108"/>
      <c r="H313" s="108"/>
    </row>
    <row r="314" spans="1:8" ht="15.75" customHeight="1">
      <c r="A314" s="108"/>
      <c r="B314" s="108"/>
      <c r="C314" s="108"/>
      <c r="D314" s="108"/>
      <c r="E314" s="108"/>
      <c r="F314" s="108"/>
      <c r="G314" s="108"/>
      <c r="H314" s="108"/>
    </row>
    <row r="315" spans="1:8" ht="15.75" customHeight="1">
      <c r="A315" s="108"/>
      <c r="B315" s="108"/>
      <c r="C315" s="108"/>
      <c r="D315" s="108"/>
      <c r="E315" s="108"/>
      <c r="F315" s="108"/>
      <c r="G315" s="108"/>
      <c r="H315" s="108"/>
    </row>
    <row r="316" spans="1:8" ht="15.75" customHeight="1">
      <c r="A316" s="108"/>
      <c r="B316" s="108"/>
      <c r="C316" s="108"/>
      <c r="D316" s="108"/>
      <c r="E316" s="108"/>
      <c r="F316" s="108"/>
      <c r="G316" s="108"/>
      <c r="H316" s="108"/>
    </row>
    <row r="317" spans="1:8" ht="15.75" customHeight="1">
      <c r="A317" s="108"/>
      <c r="B317" s="108"/>
      <c r="C317" s="108"/>
      <c r="D317" s="108"/>
      <c r="E317" s="108"/>
      <c r="F317" s="108"/>
      <c r="G317" s="108"/>
      <c r="H317" s="108"/>
    </row>
    <row r="318" spans="1:8" ht="15.75" customHeight="1">
      <c r="A318" s="108"/>
      <c r="B318" s="108"/>
      <c r="C318" s="108"/>
      <c r="D318" s="108"/>
      <c r="E318" s="108"/>
      <c r="F318" s="108"/>
      <c r="G318" s="108"/>
      <c r="H318" s="108"/>
    </row>
    <row r="319" spans="1:8" ht="15.75" customHeight="1">
      <c r="A319" s="108"/>
      <c r="B319" s="108"/>
      <c r="C319" s="108"/>
      <c r="D319" s="108"/>
      <c r="E319" s="108"/>
      <c r="F319" s="108"/>
      <c r="G319" s="108"/>
      <c r="H319" s="108"/>
    </row>
    <row r="320" spans="1:8" ht="15.75" customHeight="1">
      <c r="A320" s="108"/>
      <c r="B320" s="108"/>
      <c r="C320" s="108"/>
      <c r="D320" s="108"/>
      <c r="E320" s="108"/>
      <c r="F320" s="108"/>
      <c r="G320" s="108"/>
      <c r="H320" s="108"/>
    </row>
    <row r="321" spans="1:8" ht="15.75" customHeight="1">
      <c r="A321" s="108"/>
      <c r="B321" s="108"/>
      <c r="C321" s="108"/>
      <c r="D321" s="108"/>
      <c r="E321" s="108"/>
      <c r="F321" s="108"/>
      <c r="G321" s="108"/>
      <c r="H321" s="108"/>
    </row>
    <row r="322" spans="1:8" ht="15.75" customHeight="1">
      <c r="A322" s="108"/>
      <c r="B322" s="108"/>
      <c r="C322" s="108"/>
      <c r="D322" s="108"/>
      <c r="E322" s="108"/>
      <c r="F322" s="108"/>
      <c r="G322" s="108"/>
      <c r="H322" s="108"/>
    </row>
    <row r="323" spans="1:8" ht="15.75" customHeight="1">
      <c r="A323" s="108"/>
      <c r="B323" s="108"/>
      <c r="C323" s="108"/>
      <c r="D323" s="108"/>
      <c r="E323" s="108"/>
      <c r="F323" s="108"/>
      <c r="G323" s="108"/>
      <c r="H323" s="108"/>
    </row>
    <row r="324" spans="1:8" ht="15.75" customHeight="1">
      <c r="A324" s="108"/>
      <c r="B324" s="108"/>
      <c r="C324" s="108"/>
      <c r="D324" s="108"/>
      <c r="E324" s="108"/>
      <c r="F324" s="108"/>
      <c r="G324" s="108"/>
      <c r="H324" s="108"/>
    </row>
    <row r="325" spans="1:8" ht="15.75" customHeight="1">
      <c r="A325" s="108"/>
      <c r="B325" s="108"/>
      <c r="C325" s="108"/>
      <c r="D325" s="108"/>
      <c r="E325" s="108"/>
      <c r="F325" s="108"/>
      <c r="G325" s="108"/>
      <c r="H325" s="108"/>
    </row>
    <row r="326" spans="1:8" ht="15.75" customHeight="1">
      <c r="A326" s="108"/>
      <c r="B326" s="108"/>
      <c r="C326" s="108"/>
      <c r="D326" s="108"/>
      <c r="E326" s="108"/>
      <c r="F326" s="108"/>
      <c r="G326" s="108"/>
      <c r="H326" s="108"/>
    </row>
    <row r="327" spans="1:8" ht="15.75" customHeight="1">
      <c r="A327" s="108"/>
      <c r="B327" s="108"/>
      <c r="C327" s="108"/>
      <c r="D327" s="108"/>
      <c r="E327" s="108"/>
      <c r="F327" s="108"/>
      <c r="G327" s="108"/>
      <c r="H327" s="108"/>
    </row>
    <row r="328" spans="1:8" ht="15.75" customHeight="1">
      <c r="A328" s="108"/>
      <c r="B328" s="108"/>
      <c r="C328" s="108"/>
      <c r="D328" s="108"/>
      <c r="E328" s="108"/>
      <c r="F328" s="108"/>
      <c r="G328" s="108"/>
      <c r="H328" s="108"/>
    </row>
    <row r="329" spans="1:8" ht="15.75" customHeight="1">
      <c r="A329" s="108"/>
      <c r="B329" s="108"/>
      <c r="C329" s="108"/>
      <c r="D329" s="108"/>
      <c r="E329" s="108"/>
      <c r="F329" s="108"/>
      <c r="G329" s="108"/>
      <c r="H329" s="108"/>
    </row>
    <row r="330" spans="1:8" ht="15.75" customHeight="1">
      <c r="A330" s="108"/>
      <c r="B330" s="108"/>
      <c r="C330" s="108"/>
      <c r="D330" s="108"/>
      <c r="E330" s="108"/>
      <c r="F330" s="108"/>
      <c r="G330" s="108"/>
      <c r="H330" s="108"/>
    </row>
    <row r="331" spans="1:8" ht="15.75" customHeight="1">
      <c r="A331" s="108"/>
      <c r="B331" s="108"/>
      <c r="C331" s="108"/>
      <c r="D331" s="108"/>
      <c r="E331" s="108"/>
      <c r="F331" s="108"/>
      <c r="G331" s="108"/>
      <c r="H331" s="108"/>
    </row>
    <row r="332" spans="1:8" ht="15.75" customHeight="1">
      <c r="A332" s="108"/>
      <c r="B332" s="108"/>
      <c r="C332" s="108"/>
      <c r="D332" s="108"/>
      <c r="E332" s="108"/>
      <c r="F332" s="108"/>
      <c r="G332" s="108"/>
      <c r="H332" s="108"/>
    </row>
    <row r="333" spans="1:8" ht="15.75" customHeight="1">
      <c r="A333" s="108"/>
      <c r="B333" s="108"/>
      <c r="C333" s="108"/>
      <c r="D333" s="108"/>
      <c r="E333" s="108"/>
      <c r="F333" s="108"/>
      <c r="G333" s="108"/>
      <c r="H333" s="108"/>
    </row>
    <row r="334" spans="1:8" ht="15.75" customHeight="1">
      <c r="A334" s="108"/>
      <c r="B334" s="108"/>
      <c r="C334" s="108"/>
      <c r="D334" s="108"/>
      <c r="E334" s="108"/>
      <c r="F334" s="108"/>
      <c r="G334" s="108"/>
      <c r="H334" s="108"/>
    </row>
    <row r="335" spans="1:8" ht="15.75" customHeight="1">
      <c r="A335" s="108"/>
      <c r="B335" s="108"/>
      <c r="C335" s="108"/>
      <c r="D335" s="108"/>
      <c r="E335" s="108"/>
      <c r="F335" s="108"/>
      <c r="G335" s="108"/>
      <c r="H335" s="108"/>
    </row>
    <row r="336" spans="1:8" ht="15.75" customHeight="1">
      <c r="A336" s="108"/>
      <c r="B336" s="108"/>
      <c r="C336" s="108"/>
      <c r="D336" s="108"/>
      <c r="E336" s="108"/>
      <c r="F336" s="108"/>
      <c r="G336" s="108"/>
      <c r="H336" s="108"/>
    </row>
    <row r="337" spans="1:8" ht="15.75" customHeight="1">
      <c r="A337" s="108"/>
      <c r="B337" s="108"/>
      <c r="C337" s="108"/>
      <c r="D337" s="108"/>
      <c r="E337" s="108"/>
      <c r="F337" s="108"/>
      <c r="G337" s="108"/>
      <c r="H337" s="108"/>
    </row>
    <row r="338" spans="1:8" ht="15.75" customHeight="1">
      <c r="A338" s="108"/>
      <c r="B338" s="108"/>
      <c r="C338" s="108"/>
      <c r="D338" s="108"/>
      <c r="E338" s="108"/>
      <c r="F338" s="108"/>
      <c r="G338" s="108"/>
      <c r="H338" s="108"/>
    </row>
    <row r="339" spans="1:8" ht="15.75" customHeight="1">
      <c r="A339" s="108"/>
      <c r="B339" s="108"/>
      <c r="C339" s="108"/>
      <c r="D339" s="108"/>
      <c r="E339" s="108"/>
      <c r="F339" s="108"/>
      <c r="G339" s="108"/>
      <c r="H339" s="108"/>
    </row>
    <row r="340" spans="1:8" ht="15.75" customHeight="1">
      <c r="A340" s="108"/>
      <c r="B340" s="108"/>
      <c r="C340" s="108"/>
      <c r="D340" s="108"/>
      <c r="E340" s="108"/>
      <c r="F340" s="108"/>
      <c r="G340" s="108"/>
      <c r="H340" s="108"/>
    </row>
    <row r="341" spans="1:8" ht="15.75" customHeight="1">
      <c r="A341" s="108"/>
      <c r="B341" s="108"/>
      <c r="C341" s="108"/>
      <c r="D341" s="108"/>
      <c r="E341" s="108"/>
      <c r="F341" s="108"/>
      <c r="G341" s="108"/>
      <c r="H341" s="108"/>
    </row>
    <row r="342" spans="1:8" ht="15.75" customHeight="1">
      <c r="A342" s="108"/>
      <c r="B342" s="108"/>
      <c r="C342" s="108"/>
      <c r="D342" s="108"/>
      <c r="E342" s="108"/>
      <c r="F342" s="108"/>
      <c r="G342" s="108"/>
      <c r="H342" s="108"/>
    </row>
    <row r="343" spans="1:8" ht="15.75" customHeight="1">
      <c r="A343" s="108"/>
      <c r="B343" s="108"/>
      <c r="C343" s="108"/>
      <c r="D343" s="108"/>
      <c r="E343" s="108"/>
      <c r="F343" s="108"/>
      <c r="G343" s="108"/>
      <c r="H343" s="108"/>
    </row>
    <row r="344" spans="1:8" ht="15.75" customHeight="1">
      <c r="A344" s="108"/>
      <c r="B344" s="108"/>
      <c r="C344" s="108"/>
      <c r="D344" s="108"/>
      <c r="E344" s="108"/>
      <c r="F344" s="108"/>
      <c r="G344" s="108"/>
      <c r="H344" s="108"/>
    </row>
    <row r="345" spans="1:8" ht="15.75" customHeight="1">
      <c r="A345" s="108"/>
      <c r="B345" s="108"/>
      <c r="C345" s="108"/>
      <c r="D345" s="108"/>
      <c r="E345" s="108"/>
      <c r="F345" s="108"/>
      <c r="G345" s="108"/>
      <c r="H345" s="108"/>
    </row>
    <row r="346" spans="1:8" ht="15.75" customHeight="1">
      <c r="A346" s="108"/>
      <c r="B346" s="108"/>
      <c r="C346" s="108"/>
      <c r="D346" s="108"/>
      <c r="E346" s="108"/>
      <c r="F346" s="108"/>
      <c r="G346" s="108"/>
      <c r="H346" s="108"/>
    </row>
    <row r="347" spans="1:8" ht="15.75" customHeight="1">
      <c r="A347" s="108"/>
      <c r="B347" s="108"/>
      <c r="C347" s="108"/>
      <c r="D347" s="108"/>
      <c r="E347" s="108"/>
      <c r="F347" s="108"/>
      <c r="G347" s="108"/>
      <c r="H347" s="108"/>
    </row>
    <row r="348" spans="1:8" ht="15.75" customHeight="1">
      <c r="A348" s="108"/>
      <c r="B348" s="108"/>
      <c r="C348" s="108"/>
      <c r="D348" s="108"/>
      <c r="E348" s="108"/>
      <c r="F348" s="108"/>
      <c r="G348" s="108"/>
      <c r="H348" s="108"/>
    </row>
    <row r="349" spans="1:8" ht="15.75" customHeight="1">
      <c r="A349" s="108"/>
      <c r="B349" s="108"/>
      <c r="C349" s="108"/>
      <c r="D349" s="108"/>
      <c r="E349" s="108"/>
      <c r="F349" s="108"/>
      <c r="G349" s="108"/>
      <c r="H349" s="108"/>
    </row>
    <row r="350" spans="1:8" ht="15.75" customHeight="1">
      <c r="A350" s="108"/>
      <c r="B350" s="108"/>
      <c r="C350" s="108"/>
      <c r="D350" s="108"/>
      <c r="E350" s="108"/>
      <c r="F350" s="108"/>
      <c r="G350" s="108"/>
      <c r="H350" s="108"/>
    </row>
    <row r="351" spans="1:8" ht="15.75" customHeight="1">
      <c r="A351" s="108"/>
      <c r="B351" s="108"/>
      <c r="C351" s="108"/>
      <c r="D351" s="108"/>
      <c r="E351" s="108"/>
      <c r="F351" s="108"/>
      <c r="G351" s="108"/>
      <c r="H351" s="108"/>
    </row>
    <row r="352" spans="1:8" ht="15.75" customHeight="1">
      <c r="A352" s="108"/>
      <c r="B352" s="108"/>
      <c r="C352" s="108"/>
      <c r="D352" s="108"/>
      <c r="E352" s="108"/>
      <c r="F352" s="108"/>
      <c r="G352" s="108"/>
      <c r="H352" s="108"/>
    </row>
    <row r="353" spans="1:8" ht="15.75" customHeight="1">
      <c r="A353" s="108"/>
      <c r="B353" s="108"/>
      <c r="C353" s="108"/>
      <c r="D353" s="108"/>
      <c r="E353" s="108"/>
      <c r="F353" s="108"/>
      <c r="G353" s="108"/>
      <c r="H353" s="108"/>
    </row>
    <row r="354" spans="1:8" ht="15.75" customHeight="1">
      <c r="A354" s="108"/>
      <c r="B354" s="108"/>
      <c r="C354" s="108"/>
      <c r="D354" s="108"/>
      <c r="E354" s="108"/>
      <c r="F354" s="108"/>
      <c r="G354" s="108"/>
      <c r="H354" s="108"/>
    </row>
    <row r="355" spans="1:8" ht="15.75" customHeight="1">
      <c r="A355" s="108"/>
      <c r="B355" s="108"/>
      <c r="C355" s="108"/>
      <c r="D355" s="108"/>
      <c r="E355" s="108"/>
      <c r="F355" s="108"/>
      <c r="G355" s="108"/>
      <c r="H355" s="108"/>
    </row>
    <row r="356" spans="1:8" ht="15.75" customHeight="1">
      <c r="A356" s="108"/>
      <c r="B356" s="108"/>
      <c r="C356" s="108"/>
      <c r="D356" s="108"/>
      <c r="E356" s="108"/>
      <c r="F356" s="108"/>
      <c r="G356" s="108"/>
      <c r="H356" s="108"/>
    </row>
    <row r="357" spans="1:8" ht="15.75" customHeight="1">
      <c r="A357" s="108"/>
      <c r="B357" s="108"/>
      <c r="C357" s="108"/>
      <c r="D357" s="108"/>
      <c r="E357" s="108"/>
      <c r="F357" s="108"/>
      <c r="G357" s="108"/>
      <c r="H357" s="108"/>
    </row>
    <row r="358" spans="1:8" ht="15.75" customHeight="1">
      <c r="A358" s="108"/>
      <c r="B358" s="108"/>
      <c r="C358" s="108"/>
      <c r="D358" s="108"/>
      <c r="E358" s="108"/>
      <c r="F358" s="108"/>
      <c r="G358" s="108"/>
      <c r="H358" s="108"/>
    </row>
    <row r="359" spans="1:8" ht="15.75" customHeight="1">
      <c r="A359" s="108"/>
      <c r="B359" s="108"/>
      <c r="C359" s="108"/>
      <c r="D359" s="108"/>
      <c r="E359" s="108"/>
      <c r="F359" s="108"/>
      <c r="G359" s="108"/>
      <c r="H359" s="108"/>
    </row>
    <row r="360" spans="1:8" ht="15.75" customHeight="1">
      <c r="A360" s="108"/>
      <c r="B360" s="108"/>
      <c r="C360" s="108"/>
      <c r="D360" s="108"/>
      <c r="E360" s="108"/>
      <c r="F360" s="108"/>
      <c r="G360" s="108"/>
      <c r="H360" s="108"/>
    </row>
    <row r="361" spans="1:8" ht="15.75" customHeight="1">
      <c r="A361" s="108"/>
      <c r="B361" s="108"/>
      <c r="C361" s="108"/>
      <c r="D361" s="108"/>
      <c r="E361" s="108"/>
      <c r="F361" s="108"/>
      <c r="G361" s="108"/>
      <c r="H361" s="108"/>
    </row>
    <row r="362" spans="1:8" ht="15.75" customHeight="1">
      <c r="A362" s="108"/>
      <c r="B362" s="108"/>
      <c r="C362" s="108"/>
      <c r="D362" s="108"/>
      <c r="E362" s="108"/>
      <c r="F362" s="108"/>
      <c r="G362" s="108"/>
      <c r="H362" s="108"/>
    </row>
    <row r="363" spans="1:8" ht="15.75" customHeight="1">
      <c r="A363" s="108"/>
      <c r="B363" s="108"/>
      <c r="C363" s="108"/>
      <c r="D363" s="108"/>
      <c r="E363" s="108"/>
      <c r="F363" s="108"/>
      <c r="G363" s="108"/>
      <c r="H363" s="108"/>
    </row>
    <row r="364" spans="1:8" ht="15.75" customHeight="1">
      <c r="A364" s="108"/>
      <c r="B364" s="108"/>
      <c r="C364" s="108"/>
      <c r="D364" s="108"/>
      <c r="E364" s="108"/>
      <c r="F364" s="108"/>
      <c r="G364" s="108"/>
      <c r="H364" s="108"/>
    </row>
    <row r="365" spans="1:8" ht="15.75" customHeight="1">
      <c r="A365" s="108"/>
      <c r="B365" s="108"/>
      <c r="C365" s="108"/>
      <c r="D365" s="108"/>
      <c r="E365" s="108"/>
      <c r="F365" s="108"/>
      <c r="G365" s="108"/>
      <c r="H365" s="108"/>
    </row>
    <row r="366" spans="1:8" ht="15.75" customHeight="1">
      <c r="A366" s="108"/>
      <c r="B366" s="108"/>
      <c r="C366" s="108"/>
      <c r="D366" s="108"/>
      <c r="E366" s="108"/>
      <c r="F366" s="108"/>
      <c r="G366" s="108"/>
      <c r="H366" s="108"/>
    </row>
    <row r="367" spans="1:8" ht="15.75" customHeight="1">
      <c r="A367" s="108"/>
      <c r="B367" s="108"/>
      <c r="C367" s="108"/>
      <c r="D367" s="108"/>
      <c r="E367" s="108"/>
      <c r="F367" s="108"/>
      <c r="G367" s="108"/>
      <c r="H367" s="108"/>
    </row>
    <row r="368" spans="1:8" ht="15.75" customHeight="1">
      <c r="A368" s="108"/>
      <c r="B368" s="108"/>
      <c r="C368" s="108"/>
      <c r="D368" s="108"/>
      <c r="E368" s="108"/>
      <c r="F368" s="108"/>
      <c r="G368" s="108"/>
      <c r="H368" s="108"/>
    </row>
    <row r="369" spans="1:8" ht="15.75" customHeight="1">
      <c r="A369" s="108"/>
      <c r="B369" s="108"/>
      <c r="C369" s="108"/>
      <c r="D369" s="108"/>
      <c r="E369" s="108"/>
      <c r="F369" s="108"/>
      <c r="G369" s="108"/>
      <c r="H369" s="108"/>
    </row>
    <row r="370" spans="1:8" ht="15.75" customHeight="1">
      <c r="A370" s="108"/>
      <c r="B370" s="108"/>
      <c r="C370" s="108"/>
      <c r="D370" s="108"/>
      <c r="E370" s="108"/>
      <c r="F370" s="108"/>
      <c r="G370" s="108"/>
      <c r="H370" s="108"/>
    </row>
    <row r="371" spans="1:8" ht="15.75" customHeight="1">
      <c r="A371" s="108"/>
      <c r="B371" s="108"/>
      <c r="C371" s="108"/>
      <c r="D371" s="108"/>
      <c r="E371" s="108"/>
      <c r="F371" s="108"/>
      <c r="G371" s="108"/>
      <c r="H371" s="108"/>
    </row>
    <row r="372" spans="1:8" ht="15.75" customHeight="1">
      <c r="A372" s="108"/>
      <c r="B372" s="108"/>
      <c r="C372" s="108"/>
      <c r="D372" s="108"/>
      <c r="E372" s="108"/>
      <c r="F372" s="108"/>
      <c r="G372" s="108"/>
      <c r="H372" s="108"/>
    </row>
    <row r="373" spans="1:8" ht="15.75" customHeight="1">
      <c r="A373" s="108"/>
      <c r="B373" s="108"/>
      <c r="C373" s="108"/>
      <c r="D373" s="108"/>
      <c r="E373" s="108"/>
      <c r="F373" s="108"/>
      <c r="G373" s="108"/>
      <c r="H373" s="108"/>
    </row>
    <row r="374" spans="1:8" ht="15.75" customHeight="1">
      <c r="A374" s="108"/>
      <c r="B374" s="108"/>
      <c r="C374" s="108"/>
      <c r="D374" s="108"/>
      <c r="E374" s="108"/>
      <c r="F374" s="108"/>
      <c r="G374" s="108"/>
      <c r="H374" s="108"/>
    </row>
    <row r="375" spans="1:8" ht="15.75" customHeight="1">
      <c r="A375" s="108"/>
      <c r="B375" s="108"/>
      <c r="C375" s="108"/>
      <c r="D375" s="108"/>
      <c r="E375" s="108"/>
      <c r="F375" s="108"/>
      <c r="G375" s="108"/>
      <c r="H375" s="108"/>
    </row>
    <row r="376" spans="1:8" ht="15.75" customHeight="1">
      <c r="A376" s="108"/>
      <c r="B376" s="108"/>
      <c r="C376" s="108"/>
      <c r="D376" s="108"/>
      <c r="E376" s="108"/>
      <c r="F376" s="108"/>
      <c r="G376" s="108"/>
      <c r="H376" s="108"/>
    </row>
    <row r="377" spans="1:8" ht="15.75" customHeight="1">
      <c r="A377" s="108"/>
      <c r="B377" s="108"/>
      <c r="C377" s="108"/>
      <c r="D377" s="108"/>
      <c r="E377" s="108"/>
      <c r="F377" s="108"/>
      <c r="G377" s="108"/>
      <c r="H377" s="108"/>
    </row>
    <row r="378" spans="1:8" ht="15.75" customHeight="1">
      <c r="A378" s="108"/>
      <c r="B378" s="108"/>
      <c r="C378" s="108"/>
      <c r="D378" s="108"/>
      <c r="E378" s="108"/>
      <c r="F378" s="108"/>
      <c r="G378" s="108"/>
      <c r="H378" s="108"/>
    </row>
    <row r="379" spans="1:8" ht="15.75" customHeight="1">
      <c r="A379" s="108"/>
      <c r="B379" s="108"/>
      <c r="C379" s="108"/>
      <c r="D379" s="108"/>
      <c r="E379" s="108"/>
      <c r="F379" s="108"/>
      <c r="G379" s="108"/>
      <c r="H379" s="108"/>
    </row>
    <row r="380" spans="1:8" ht="15.75" customHeight="1">
      <c r="A380" s="108"/>
      <c r="B380" s="108"/>
      <c r="C380" s="108"/>
      <c r="D380" s="108"/>
      <c r="E380" s="108"/>
      <c r="F380" s="108"/>
      <c r="G380" s="108"/>
      <c r="H380" s="108"/>
    </row>
    <row r="381" spans="1:8" ht="15.75" customHeight="1">
      <c r="A381" s="108"/>
      <c r="B381" s="108"/>
      <c r="C381" s="108"/>
      <c r="D381" s="108"/>
      <c r="E381" s="108"/>
      <c r="F381" s="108"/>
      <c r="G381" s="108"/>
      <c r="H381" s="108"/>
    </row>
    <row r="382" spans="1:8" ht="15.75" customHeight="1">
      <c r="A382" s="108"/>
      <c r="B382" s="108"/>
      <c r="C382" s="108"/>
      <c r="D382" s="108"/>
      <c r="E382" s="108"/>
      <c r="F382" s="108"/>
      <c r="G382" s="108"/>
      <c r="H382" s="108"/>
    </row>
    <row r="383" spans="1:8" ht="15.75" customHeight="1">
      <c r="A383" s="108"/>
      <c r="B383" s="108"/>
      <c r="C383" s="108"/>
      <c r="D383" s="108"/>
      <c r="E383" s="108"/>
      <c r="F383" s="108"/>
      <c r="G383" s="108"/>
      <c r="H383" s="108"/>
    </row>
    <row r="384" spans="1:8" ht="15.75" customHeight="1">
      <c r="A384" s="108"/>
      <c r="B384" s="108"/>
      <c r="C384" s="108"/>
      <c r="D384" s="108"/>
      <c r="E384" s="108"/>
      <c r="F384" s="108"/>
      <c r="G384" s="108"/>
      <c r="H384" s="108"/>
    </row>
    <row r="385" spans="1:8" ht="15.75" customHeight="1">
      <c r="A385" s="108"/>
      <c r="B385" s="108"/>
      <c r="C385" s="108"/>
      <c r="D385" s="108"/>
      <c r="E385" s="108"/>
      <c r="F385" s="108"/>
      <c r="G385" s="108"/>
      <c r="H385" s="108"/>
    </row>
    <row r="386" spans="1:8" ht="15.75" customHeight="1">
      <c r="A386" s="108"/>
      <c r="B386" s="108"/>
      <c r="C386" s="108"/>
      <c r="D386" s="108"/>
      <c r="E386" s="108"/>
      <c r="F386" s="108"/>
      <c r="G386" s="108"/>
      <c r="H386" s="108"/>
    </row>
    <row r="387" spans="1:8" ht="15.75" customHeight="1">
      <c r="A387" s="108"/>
      <c r="B387" s="108"/>
      <c r="C387" s="108"/>
      <c r="D387" s="108"/>
      <c r="E387" s="108"/>
      <c r="F387" s="108"/>
      <c r="G387" s="108"/>
      <c r="H387" s="108"/>
    </row>
    <row r="388" spans="1:8" ht="15.75" customHeight="1">
      <c r="A388" s="108"/>
      <c r="B388" s="108"/>
      <c r="C388" s="108"/>
      <c r="D388" s="108"/>
      <c r="E388" s="108"/>
      <c r="F388" s="108"/>
      <c r="G388" s="108"/>
      <c r="H388" s="108"/>
    </row>
    <row r="389" spans="1:8" ht="15.75" customHeight="1">
      <c r="A389" s="108"/>
      <c r="B389" s="108"/>
      <c r="C389" s="108"/>
      <c r="D389" s="108"/>
      <c r="E389" s="108"/>
      <c r="F389" s="108"/>
      <c r="G389" s="108"/>
      <c r="H389" s="108"/>
    </row>
    <row r="390" spans="1:8" ht="15.75" customHeight="1">
      <c r="A390" s="108"/>
      <c r="B390" s="108"/>
      <c r="C390" s="108"/>
      <c r="D390" s="108"/>
      <c r="E390" s="108"/>
      <c r="F390" s="108"/>
      <c r="G390" s="108"/>
      <c r="H390" s="108"/>
    </row>
    <row r="391" spans="1:8" ht="15.75" customHeight="1">
      <c r="A391" s="108"/>
      <c r="B391" s="108"/>
      <c r="C391" s="108"/>
      <c r="D391" s="108"/>
      <c r="E391" s="108"/>
      <c r="F391" s="108"/>
      <c r="G391" s="108"/>
      <c r="H391" s="108"/>
    </row>
    <row r="392" spans="1:8" ht="15.75" customHeight="1">
      <c r="A392" s="108"/>
      <c r="B392" s="108"/>
      <c r="C392" s="108"/>
      <c r="D392" s="108"/>
      <c r="E392" s="108"/>
      <c r="F392" s="108"/>
      <c r="G392" s="108"/>
      <c r="H392" s="108"/>
    </row>
    <row r="393" spans="1:8" ht="15.75" customHeight="1">
      <c r="A393" s="108"/>
      <c r="B393" s="108"/>
      <c r="C393" s="108"/>
      <c r="D393" s="108"/>
      <c r="E393" s="108"/>
      <c r="F393" s="108"/>
      <c r="G393" s="108"/>
      <c r="H393" s="108"/>
    </row>
    <row r="394" spans="1:8" ht="15.75" customHeight="1">
      <c r="A394" s="108"/>
      <c r="B394" s="108"/>
      <c r="C394" s="108"/>
      <c r="D394" s="108"/>
      <c r="E394" s="108"/>
      <c r="F394" s="108"/>
      <c r="G394" s="108"/>
      <c r="H394" s="108"/>
    </row>
    <row r="395" spans="1:8" ht="15.75" customHeight="1">
      <c r="A395" s="108"/>
      <c r="B395" s="108"/>
      <c r="C395" s="108"/>
      <c r="D395" s="108"/>
      <c r="E395" s="108"/>
      <c r="F395" s="108"/>
      <c r="G395" s="108"/>
      <c r="H395" s="108"/>
    </row>
    <row r="396" spans="1:8" ht="15.75" customHeight="1">
      <c r="A396" s="108"/>
      <c r="B396" s="108"/>
      <c r="C396" s="108"/>
      <c r="D396" s="108"/>
      <c r="E396" s="108"/>
      <c r="F396" s="108"/>
      <c r="G396" s="108"/>
      <c r="H396" s="108"/>
    </row>
    <row r="397" spans="1:8" ht="15.75" customHeight="1">
      <c r="A397" s="108"/>
      <c r="B397" s="108"/>
      <c r="C397" s="108"/>
      <c r="D397" s="108"/>
      <c r="E397" s="108"/>
      <c r="F397" s="108"/>
      <c r="G397" s="108"/>
      <c r="H397" s="108"/>
    </row>
    <row r="398" spans="1:8" ht="15.75" customHeight="1">
      <c r="A398" s="108"/>
      <c r="B398" s="108"/>
      <c r="C398" s="108"/>
      <c r="D398" s="108"/>
      <c r="E398" s="108"/>
      <c r="F398" s="108"/>
      <c r="G398" s="108"/>
      <c r="H398" s="108"/>
    </row>
    <row r="399" spans="1:8" ht="15.75" customHeight="1">
      <c r="A399" s="108"/>
      <c r="B399" s="108"/>
      <c r="C399" s="108"/>
      <c r="D399" s="108"/>
      <c r="E399" s="108"/>
      <c r="F399" s="108"/>
      <c r="G399" s="108"/>
      <c r="H399" s="108"/>
    </row>
    <row r="400" spans="1:8" ht="15.75" customHeight="1">
      <c r="A400" s="108"/>
      <c r="B400" s="108"/>
      <c r="C400" s="108"/>
      <c r="D400" s="108"/>
      <c r="E400" s="108"/>
      <c r="F400" s="108"/>
      <c r="G400" s="108"/>
      <c r="H400" s="108"/>
    </row>
    <row r="401" spans="1:8" ht="15.75" customHeight="1">
      <c r="A401" s="108"/>
      <c r="B401" s="108"/>
      <c r="C401" s="108"/>
      <c r="D401" s="108"/>
      <c r="E401" s="108"/>
      <c r="F401" s="108"/>
      <c r="G401" s="108"/>
      <c r="H401" s="108"/>
    </row>
    <row r="402" spans="1:8" ht="15.75" customHeight="1">
      <c r="A402" s="108"/>
      <c r="B402" s="108"/>
      <c r="C402" s="108"/>
      <c r="D402" s="108"/>
      <c r="E402" s="108"/>
      <c r="F402" s="108"/>
      <c r="G402" s="108"/>
      <c r="H402" s="108"/>
    </row>
    <row r="403" spans="1:8" ht="15.75" customHeight="1">
      <c r="A403" s="108"/>
      <c r="B403" s="108"/>
      <c r="C403" s="108"/>
      <c r="D403" s="108"/>
      <c r="E403" s="108"/>
      <c r="F403" s="108"/>
      <c r="G403" s="108"/>
      <c r="H403" s="108"/>
    </row>
    <row r="404" spans="1:8" ht="15.75" customHeight="1">
      <c r="A404" s="108"/>
      <c r="B404" s="108"/>
      <c r="C404" s="108"/>
      <c r="D404" s="108"/>
      <c r="E404" s="108"/>
      <c r="F404" s="108"/>
      <c r="G404" s="108"/>
      <c r="H404" s="108"/>
    </row>
    <row r="405" spans="1:8" ht="15.75" customHeight="1">
      <c r="A405" s="108"/>
      <c r="B405" s="108"/>
      <c r="C405" s="108"/>
      <c r="D405" s="108"/>
      <c r="E405" s="108"/>
      <c r="F405" s="108"/>
      <c r="G405" s="108"/>
      <c r="H405" s="108"/>
    </row>
    <row r="406" spans="1:8" ht="15.75" customHeight="1">
      <c r="A406" s="108"/>
      <c r="B406" s="108"/>
      <c r="C406" s="108"/>
      <c r="D406" s="108"/>
      <c r="E406" s="108"/>
      <c r="F406" s="108"/>
      <c r="G406" s="108"/>
      <c r="H406" s="108"/>
    </row>
    <row r="407" spans="1:8" ht="15.75" customHeight="1">
      <c r="A407" s="108"/>
      <c r="B407" s="108"/>
      <c r="C407" s="108"/>
      <c r="D407" s="108"/>
      <c r="E407" s="108"/>
      <c r="F407" s="108"/>
      <c r="G407" s="108"/>
      <c r="H407" s="108"/>
    </row>
    <row r="408" spans="1:8" ht="15.75" customHeight="1">
      <c r="A408" s="108"/>
      <c r="B408" s="108"/>
      <c r="C408" s="108"/>
      <c r="D408" s="108"/>
      <c r="E408" s="108"/>
      <c r="F408" s="108"/>
      <c r="G408" s="108"/>
      <c r="H408" s="108"/>
    </row>
    <row r="409" spans="1:8" ht="15.75" customHeight="1">
      <c r="A409" s="108"/>
      <c r="B409" s="108"/>
      <c r="C409" s="108"/>
      <c r="D409" s="108"/>
      <c r="E409" s="108"/>
      <c r="F409" s="108"/>
      <c r="G409" s="108"/>
      <c r="H409" s="108"/>
    </row>
    <row r="410" spans="1:8" ht="15.75" customHeight="1">
      <c r="A410" s="108"/>
      <c r="B410" s="108"/>
      <c r="C410" s="108"/>
      <c r="D410" s="108"/>
      <c r="E410" s="108"/>
      <c r="F410" s="108"/>
      <c r="G410" s="108"/>
      <c r="H410" s="108"/>
    </row>
    <row r="411" spans="1:8" ht="15.75" customHeight="1">
      <c r="A411" s="108"/>
      <c r="B411" s="108"/>
      <c r="C411" s="108"/>
      <c r="D411" s="108"/>
      <c r="E411" s="108"/>
      <c r="F411" s="108"/>
      <c r="G411" s="108"/>
      <c r="H411" s="108"/>
    </row>
    <row r="412" spans="1:8" ht="15.75" customHeight="1">
      <c r="A412" s="108"/>
      <c r="B412" s="108"/>
      <c r="C412" s="108"/>
      <c r="D412" s="108"/>
      <c r="E412" s="108"/>
      <c r="F412" s="108"/>
      <c r="G412" s="108"/>
      <c r="H412" s="108"/>
    </row>
    <row r="413" spans="1:8" ht="15.75" customHeight="1">
      <c r="A413" s="108"/>
      <c r="B413" s="108"/>
      <c r="C413" s="108"/>
      <c r="D413" s="108"/>
      <c r="E413" s="108"/>
      <c r="F413" s="108"/>
      <c r="G413" s="108"/>
      <c r="H413" s="108"/>
    </row>
    <row r="414" spans="1:8" ht="15.75" customHeight="1">
      <c r="A414" s="108"/>
      <c r="B414" s="108"/>
      <c r="C414" s="108"/>
      <c r="D414" s="108"/>
      <c r="E414" s="108"/>
      <c r="F414" s="108"/>
      <c r="G414" s="108"/>
      <c r="H414" s="108"/>
    </row>
    <row r="415" spans="1:8" ht="15.75" customHeight="1">
      <c r="A415" s="108"/>
      <c r="B415" s="108"/>
      <c r="C415" s="108"/>
      <c r="D415" s="108"/>
      <c r="E415" s="108"/>
      <c r="F415" s="108"/>
      <c r="G415" s="108"/>
      <c r="H415" s="108"/>
    </row>
    <row r="416" spans="1:8" ht="15.75" customHeight="1">
      <c r="A416" s="108"/>
      <c r="B416" s="108"/>
      <c r="C416" s="108"/>
      <c r="D416" s="108"/>
      <c r="E416" s="108"/>
      <c r="F416" s="108"/>
      <c r="G416" s="108"/>
      <c r="H416" s="108"/>
    </row>
    <row r="417" spans="1:8" ht="15.75" customHeight="1">
      <c r="A417" s="108"/>
      <c r="B417" s="108"/>
      <c r="C417" s="108"/>
      <c r="D417" s="108"/>
      <c r="E417" s="108"/>
      <c r="F417" s="108"/>
      <c r="G417" s="108"/>
      <c r="H417" s="108"/>
    </row>
    <row r="418" spans="1:8" ht="15.75" customHeight="1">
      <c r="A418" s="108"/>
      <c r="B418" s="108"/>
      <c r="C418" s="108"/>
      <c r="D418" s="108"/>
      <c r="E418" s="108"/>
      <c r="F418" s="108"/>
      <c r="G418" s="108"/>
      <c r="H418" s="108"/>
    </row>
    <row r="419" spans="1:8" ht="15.75" customHeight="1">
      <c r="A419" s="108"/>
      <c r="B419" s="108"/>
      <c r="C419" s="108"/>
      <c r="D419" s="108"/>
      <c r="E419" s="108"/>
      <c r="F419" s="108"/>
      <c r="G419" s="108"/>
      <c r="H419" s="108"/>
    </row>
    <row r="420" spans="1:8" ht="15.75" customHeight="1">
      <c r="A420" s="108"/>
      <c r="B420" s="108"/>
      <c r="C420" s="108"/>
      <c r="D420" s="108"/>
      <c r="E420" s="108"/>
      <c r="F420" s="108"/>
      <c r="G420" s="108"/>
      <c r="H420" s="108"/>
    </row>
    <row r="421" spans="1:8" ht="15.75" customHeight="1">
      <c r="A421" s="108"/>
      <c r="B421" s="108"/>
      <c r="C421" s="108"/>
      <c r="D421" s="108"/>
      <c r="E421" s="108"/>
      <c r="F421" s="108"/>
      <c r="G421" s="108"/>
      <c r="H421" s="108"/>
    </row>
    <row r="422" spans="1:8" ht="15.75" customHeight="1">
      <c r="A422" s="108"/>
      <c r="B422" s="108"/>
      <c r="C422" s="108"/>
      <c r="D422" s="108"/>
      <c r="E422" s="108"/>
      <c r="F422" s="108"/>
      <c r="G422" s="108"/>
      <c r="H422" s="108"/>
    </row>
    <row r="423" spans="1:8" ht="15.75" customHeight="1">
      <c r="A423" s="108"/>
      <c r="B423" s="108"/>
      <c r="C423" s="108"/>
      <c r="D423" s="108"/>
      <c r="E423" s="108"/>
      <c r="F423" s="108"/>
      <c r="G423" s="108"/>
      <c r="H423" s="108"/>
    </row>
    <row r="424" spans="1:8" ht="15.75" customHeight="1">
      <c r="A424" s="108"/>
      <c r="B424" s="108"/>
      <c r="C424" s="108"/>
      <c r="D424" s="108"/>
      <c r="E424" s="108"/>
      <c r="F424" s="108"/>
      <c r="G424" s="108"/>
      <c r="H424" s="108"/>
    </row>
    <row r="425" spans="1:8" ht="15.75" customHeight="1">
      <c r="A425" s="108"/>
      <c r="B425" s="108"/>
      <c r="C425" s="108"/>
      <c r="D425" s="108"/>
      <c r="E425" s="108"/>
      <c r="F425" s="108"/>
      <c r="G425" s="108"/>
      <c r="H425" s="108"/>
    </row>
    <row r="426" spans="1:8" ht="15.75" customHeight="1">
      <c r="A426" s="108"/>
      <c r="B426" s="108"/>
      <c r="C426" s="108"/>
      <c r="D426" s="108"/>
      <c r="E426" s="108"/>
      <c r="F426" s="108"/>
      <c r="G426" s="108"/>
      <c r="H426" s="108"/>
    </row>
    <row r="427" spans="1:8" ht="15.75" customHeight="1">
      <c r="A427" s="108"/>
      <c r="B427" s="108"/>
      <c r="C427" s="108"/>
      <c r="D427" s="108"/>
      <c r="E427" s="108"/>
      <c r="F427" s="108"/>
      <c r="G427" s="108"/>
      <c r="H427" s="108"/>
    </row>
    <row r="428" spans="1:8" ht="15.75" customHeight="1">
      <c r="A428" s="108"/>
      <c r="B428" s="108"/>
      <c r="C428" s="108"/>
      <c r="D428" s="108"/>
      <c r="E428" s="108"/>
      <c r="F428" s="108"/>
      <c r="G428" s="108"/>
      <c r="H428" s="108"/>
    </row>
    <row r="429" spans="1:8" ht="15.75" customHeight="1">
      <c r="A429" s="108"/>
      <c r="B429" s="108"/>
      <c r="C429" s="108"/>
      <c r="D429" s="108"/>
      <c r="E429" s="108"/>
      <c r="F429" s="108"/>
      <c r="G429" s="108"/>
      <c r="H429" s="108"/>
    </row>
    <row r="430" spans="1:8" ht="15.75" customHeight="1">
      <c r="A430" s="108"/>
      <c r="B430" s="108"/>
      <c r="C430" s="108"/>
      <c r="D430" s="108"/>
      <c r="E430" s="108"/>
      <c r="F430" s="108"/>
      <c r="G430" s="108"/>
      <c r="H430" s="108"/>
    </row>
    <row r="431" spans="1:8" ht="15.75" customHeight="1">
      <c r="A431" s="108"/>
      <c r="B431" s="108"/>
      <c r="C431" s="108"/>
      <c r="D431" s="108"/>
      <c r="E431" s="108"/>
      <c r="F431" s="108"/>
      <c r="G431" s="108"/>
      <c r="H431" s="108"/>
    </row>
    <row r="432" spans="1:8" ht="15.75" customHeight="1">
      <c r="A432" s="108"/>
      <c r="B432" s="108"/>
      <c r="C432" s="108"/>
      <c r="D432" s="108"/>
      <c r="E432" s="108"/>
      <c r="F432" s="108"/>
      <c r="G432" s="108"/>
      <c r="H432" s="108"/>
    </row>
    <row r="433" spans="1:8" ht="15.75" customHeight="1">
      <c r="A433" s="108"/>
      <c r="B433" s="108"/>
      <c r="C433" s="108"/>
      <c r="D433" s="108"/>
      <c r="E433" s="108"/>
      <c r="F433" s="108"/>
      <c r="G433" s="108"/>
      <c r="H433" s="108"/>
    </row>
    <row r="434" spans="1:8" ht="15.75" customHeight="1">
      <c r="A434" s="108"/>
      <c r="B434" s="108"/>
      <c r="C434" s="108"/>
      <c r="D434" s="108"/>
      <c r="E434" s="108"/>
      <c r="F434" s="108"/>
      <c r="G434" s="108"/>
      <c r="H434" s="108"/>
    </row>
    <row r="435" spans="1:8" ht="15.75" customHeight="1">
      <c r="A435" s="108"/>
      <c r="B435" s="108"/>
      <c r="C435" s="108"/>
      <c r="D435" s="108"/>
      <c r="E435" s="108"/>
      <c r="F435" s="108"/>
      <c r="G435" s="108"/>
      <c r="H435" s="108"/>
    </row>
    <row r="436" spans="1:8" ht="15.75" customHeight="1">
      <c r="A436" s="108"/>
      <c r="B436" s="108"/>
      <c r="C436" s="108"/>
      <c r="D436" s="108"/>
      <c r="E436" s="108"/>
      <c r="F436" s="108"/>
      <c r="G436" s="108"/>
      <c r="H436" s="108"/>
    </row>
    <row r="437" spans="1:8" ht="15.75" customHeight="1">
      <c r="A437" s="108"/>
      <c r="B437" s="108"/>
      <c r="C437" s="108"/>
      <c r="D437" s="108"/>
      <c r="E437" s="108"/>
      <c r="F437" s="108"/>
      <c r="G437" s="108"/>
      <c r="H437" s="108"/>
    </row>
    <row r="438" spans="1:8" ht="15.75" customHeight="1">
      <c r="A438" s="108"/>
      <c r="B438" s="108"/>
      <c r="C438" s="108"/>
      <c r="D438" s="108"/>
      <c r="E438" s="108"/>
      <c r="F438" s="108"/>
      <c r="G438" s="108"/>
      <c r="H438" s="108"/>
    </row>
    <row r="439" spans="1:8" ht="15.75" customHeight="1">
      <c r="A439" s="108"/>
      <c r="B439" s="108"/>
      <c r="C439" s="108"/>
      <c r="D439" s="108"/>
      <c r="E439" s="108"/>
      <c r="F439" s="108"/>
      <c r="G439" s="108"/>
      <c r="H439" s="108"/>
    </row>
    <row r="440" spans="1:8" ht="15.75" customHeight="1">
      <c r="A440" s="108"/>
      <c r="B440" s="108"/>
      <c r="C440" s="108"/>
      <c r="D440" s="108"/>
      <c r="E440" s="108"/>
      <c r="F440" s="108"/>
      <c r="G440" s="108"/>
      <c r="H440" s="108"/>
    </row>
    <row r="441" spans="1:8" ht="15.75" customHeight="1">
      <c r="A441" s="108"/>
      <c r="B441" s="108"/>
      <c r="C441" s="108"/>
      <c r="D441" s="108"/>
      <c r="E441" s="108"/>
      <c r="F441" s="108"/>
      <c r="G441" s="108"/>
      <c r="H441" s="108"/>
    </row>
    <row r="442" spans="1:8" ht="15.75" customHeight="1">
      <c r="A442" s="108"/>
      <c r="B442" s="108"/>
      <c r="C442" s="108"/>
      <c r="D442" s="108"/>
      <c r="E442" s="108"/>
      <c r="F442" s="108"/>
      <c r="G442" s="108"/>
      <c r="H442" s="108"/>
    </row>
    <row r="443" spans="1:8" ht="15.75" customHeight="1">
      <c r="A443" s="108"/>
      <c r="B443" s="108"/>
      <c r="C443" s="108"/>
      <c r="D443" s="108"/>
      <c r="E443" s="108"/>
      <c r="F443" s="108"/>
      <c r="G443" s="108"/>
      <c r="H443" s="108"/>
    </row>
    <row r="444" spans="1:8" ht="15.75" customHeight="1">
      <c r="A444" s="108"/>
      <c r="B444" s="108"/>
      <c r="C444" s="108"/>
      <c r="D444" s="108"/>
      <c r="E444" s="108"/>
      <c r="F444" s="108"/>
      <c r="G444" s="108"/>
      <c r="H444" s="108"/>
    </row>
    <row r="445" spans="1:8" ht="15.75" customHeight="1">
      <c r="A445" s="108"/>
      <c r="B445" s="108"/>
      <c r="C445" s="108"/>
      <c r="D445" s="108"/>
      <c r="E445" s="108"/>
      <c r="F445" s="108"/>
      <c r="G445" s="108"/>
      <c r="H445" s="108"/>
    </row>
    <row r="446" spans="1:8" ht="15.75" customHeight="1">
      <c r="A446" s="108"/>
      <c r="B446" s="108"/>
      <c r="C446" s="108"/>
      <c r="D446" s="108"/>
      <c r="E446" s="108"/>
      <c r="F446" s="108"/>
      <c r="G446" s="108"/>
      <c r="H446" s="108"/>
    </row>
    <row r="447" spans="1:8" ht="15.75" customHeight="1">
      <c r="A447" s="108"/>
      <c r="B447" s="108"/>
      <c r="C447" s="108"/>
      <c r="D447" s="108"/>
      <c r="E447" s="108"/>
      <c r="F447" s="108"/>
      <c r="G447" s="108"/>
      <c r="H447" s="108"/>
    </row>
    <row r="448" spans="1:8" ht="15.75" customHeight="1">
      <c r="A448" s="108"/>
      <c r="B448" s="108"/>
      <c r="C448" s="108"/>
      <c r="D448" s="108"/>
      <c r="E448" s="108"/>
      <c r="F448" s="108"/>
      <c r="G448" s="108"/>
      <c r="H448" s="108"/>
    </row>
    <row r="449" spans="1:8" ht="15.75" customHeight="1">
      <c r="A449" s="108"/>
      <c r="B449" s="108"/>
      <c r="C449" s="108"/>
      <c r="D449" s="108"/>
      <c r="E449" s="108"/>
      <c r="F449" s="108"/>
      <c r="G449" s="108"/>
      <c r="H449" s="108"/>
    </row>
    <row r="450" spans="1:8" ht="15.75" customHeight="1">
      <c r="A450" s="108"/>
      <c r="B450" s="108"/>
      <c r="C450" s="108"/>
      <c r="D450" s="108"/>
      <c r="E450" s="108"/>
      <c r="F450" s="108"/>
      <c r="G450" s="108"/>
      <c r="H450" s="108"/>
    </row>
    <row r="451" spans="1:8" ht="15.75" customHeight="1">
      <c r="A451" s="108"/>
      <c r="B451" s="108"/>
      <c r="C451" s="108"/>
      <c r="D451" s="108"/>
      <c r="E451" s="108"/>
      <c r="F451" s="108"/>
      <c r="G451" s="108"/>
      <c r="H451" s="108"/>
    </row>
    <row r="452" spans="1:8" ht="15.75" customHeight="1">
      <c r="A452" s="108"/>
      <c r="B452" s="108"/>
      <c r="C452" s="108"/>
      <c r="D452" s="108"/>
      <c r="E452" s="108"/>
      <c r="F452" s="108"/>
      <c r="G452" s="108"/>
      <c r="H452" s="108"/>
    </row>
    <row r="453" spans="1:8" ht="15.75" customHeight="1">
      <c r="A453" s="108"/>
      <c r="B453" s="108"/>
      <c r="C453" s="108"/>
      <c r="D453" s="108"/>
      <c r="E453" s="108"/>
      <c r="F453" s="108"/>
      <c r="G453" s="108"/>
      <c r="H453" s="108"/>
    </row>
    <row r="454" spans="1:8" ht="15.75" customHeight="1">
      <c r="A454" s="108"/>
      <c r="B454" s="108"/>
      <c r="C454" s="108"/>
      <c r="D454" s="108"/>
      <c r="E454" s="108"/>
      <c r="F454" s="108"/>
      <c r="G454" s="108"/>
      <c r="H454" s="108"/>
    </row>
    <row r="455" spans="1:8" ht="15.75" customHeight="1">
      <c r="A455" s="108"/>
      <c r="B455" s="108"/>
      <c r="C455" s="108"/>
      <c r="D455" s="108"/>
      <c r="E455" s="108"/>
      <c r="F455" s="108"/>
      <c r="G455" s="108"/>
      <c r="H455" s="108"/>
    </row>
    <row r="456" spans="1:8" ht="15.75" customHeight="1">
      <c r="A456" s="108"/>
      <c r="B456" s="108"/>
      <c r="C456" s="108"/>
      <c r="D456" s="108"/>
      <c r="E456" s="108"/>
      <c r="F456" s="108"/>
      <c r="G456" s="108"/>
      <c r="H456" s="108"/>
    </row>
    <row r="457" spans="1:8" ht="15.75" customHeight="1">
      <c r="A457" s="108"/>
      <c r="B457" s="108"/>
      <c r="C457" s="108"/>
      <c r="D457" s="108"/>
      <c r="E457" s="108"/>
      <c r="F457" s="108"/>
      <c r="G457" s="108"/>
      <c r="H457" s="108"/>
    </row>
    <row r="458" spans="1:8" ht="15.75" customHeight="1">
      <c r="A458" s="108"/>
      <c r="B458" s="108"/>
      <c r="C458" s="108"/>
      <c r="D458" s="108"/>
      <c r="E458" s="108"/>
      <c r="F458" s="108"/>
      <c r="G458" s="108"/>
      <c r="H458" s="108"/>
    </row>
    <row r="459" spans="1:8" ht="15.75" customHeight="1">
      <c r="A459" s="108"/>
      <c r="B459" s="108"/>
      <c r="C459" s="108"/>
      <c r="D459" s="108"/>
      <c r="E459" s="108"/>
      <c r="F459" s="108"/>
      <c r="G459" s="108"/>
      <c r="H459" s="108"/>
    </row>
    <row r="460" spans="1:8" ht="15.75" customHeight="1">
      <c r="A460" s="108"/>
      <c r="B460" s="108"/>
      <c r="C460" s="108"/>
      <c r="D460" s="108"/>
      <c r="E460" s="108"/>
      <c r="F460" s="108"/>
      <c r="G460" s="108"/>
      <c r="H460" s="108"/>
    </row>
    <row r="461" spans="1:8" ht="15.75" customHeight="1">
      <c r="A461" s="108"/>
      <c r="B461" s="108"/>
      <c r="C461" s="108"/>
      <c r="D461" s="108"/>
      <c r="E461" s="108"/>
      <c r="F461" s="108"/>
      <c r="G461" s="108"/>
      <c r="H461" s="108"/>
    </row>
    <row r="462" spans="1:8" ht="15.75" customHeight="1">
      <c r="A462" s="108"/>
      <c r="B462" s="108"/>
      <c r="C462" s="108"/>
      <c r="D462" s="108"/>
      <c r="E462" s="108"/>
      <c r="F462" s="108"/>
      <c r="G462" s="108"/>
      <c r="H462" s="108"/>
    </row>
    <row r="463" spans="1:8" ht="15.75" customHeight="1">
      <c r="A463" s="108"/>
      <c r="B463" s="108"/>
      <c r="C463" s="108"/>
      <c r="D463" s="108"/>
      <c r="E463" s="108"/>
      <c r="F463" s="108"/>
      <c r="G463" s="108"/>
      <c r="H463" s="108"/>
    </row>
    <row r="464" spans="1:8" ht="15.75" customHeight="1">
      <c r="A464" s="108"/>
      <c r="B464" s="108"/>
      <c r="C464" s="108"/>
      <c r="D464" s="108"/>
      <c r="E464" s="108"/>
      <c r="F464" s="108"/>
      <c r="G464" s="108"/>
      <c r="H464" s="108"/>
    </row>
    <row r="465" spans="1:8" ht="15.75" customHeight="1">
      <c r="A465" s="108"/>
      <c r="B465" s="108"/>
      <c r="C465" s="108"/>
      <c r="D465" s="108"/>
      <c r="E465" s="108"/>
      <c r="F465" s="108"/>
      <c r="G465" s="108"/>
      <c r="H465" s="108"/>
    </row>
    <row r="466" spans="1:8" ht="15.75" customHeight="1">
      <c r="A466" s="108"/>
      <c r="B466" s="108"/>
      <c r="C466" s="108"/>
      <c r="D466" s="108"/>
      <c r="E466" s="108"/>
      <c r="F466" s="108"/>
      <c r="G466" s="108"/>
      <c r="H466" s="108"/>
    </row>
    <row r="467" spans="1:8" ht="15.75" customHeight="1">
      <c r="A467" s="108"/>
      <c r="B467" s="108"/>
      <c r="C467" s="108"/>
      <c r="D467" s="108"/>
      <c r="E467" s="108"/>
      <c r="F467" s="108"/>
      <c r="G467" s="108"/>
      <c r="H467" s="108"/>
    </row>
    <row r="468" spans="1:8" ht="15.75" customHeight="1">
      <c r="A468" s="108"/>
      <c r="B468" s="108"/>
      <c r="C468" s="108"/>
      <c r="D468" s="108"/>
      <c r="E468" s="108"/>
      <c r="F468" s="108"/>
      <c r="G468" s="108"/>
      <c r="H468" s="108"/>
    </row>
    <row r="469" spans="1:8" ht="15.75" customHeight="1">
      <c r="A469" s="108"/>
      <c r="B469" s="108"/>
      <c r="C469" s="108"/>
      <c r="D469" s="108"/>
      <c r="E469" s="108"/>
      <c r="F469" s="108"/>
      <c r="G469" s="108"/>
      <c r="H469" s="108"/>
    </row>
    <row r="470" spans="1:8" ht="15.75" customHeight="1">
      <c r="A470" s="108"/>
      <c r="B470" s="108"/>
      <c r="C470" s="108"/>
      <c r="D470" s="108"/>
      <c r="E470" s="108"/>
      <c r="F470" s="108"/>
      <c r="G470" s="108"/>
      <c r="H470" s="108"/>
    </row>
    <row r="471" spans="1:8" ht="15.75" customHeight="1">
      <c r="A471" s="108"/>
      <c r="B471" s="108"/>
      <c r="C471" s="108"/>
      <c r="D471" s="108"/>
      <c r="E471" s="108"/>
      <c r="F471" s="108"/>
      <c r="G471" s="108"/>
      <c r="H471" s="108"/>
    </row>
    <row r="472" spans="1:8" ht="15.75" customHeight="1">
      <c r="A472" s="108"/>
      <c r="B472" s="108"/>
      <c r="C472" s="108"/>
      <c r="D472" s="108"/>
      <c r="E472" s="108"/>
      <c r="F472" s="108"/>
      <c r="G472" s="108"/>
      <c r="H472" s="108"/>
    </row>
    <row r="473" spans="1:8" ht="15.75" customHeight="1">
      <c r="A473" s="108"/>
      <c r="B473" s="108"/>
      <c r="C473" s="108"/>
      <c r="D473" s="108"/>
      <c r="E473" s="108"/>
      <c r="F473" s="108"/>
      <c r="G473" s="108"/>
      <c r="H473" s="108"/>
    </row>
    <row r="474" spans="1:8" ht="15.75" customHeight="1">
      <c r="A474" s="108"/>
      <c r="B474" s="108"/>
      <c r="C474" s="108"/>
      <c r="D474" s="108"/>
      <c r="E474" s="108"/>
      <c r="F474" s="108"/>
      <c r="G474" s="108"/>
      <c r="H474" s="108"/>
    </row>
    <row r="475" spans="1:8" ht="15.75" customHeight="1">
      <c r="A475" s="108"/>
      <c r="B475" s="108"/>
      <c r="C475" s="108"/>
      <c r="D475" s="108"/>
      <c r="E475" s="108"/>
      <c r="F475" s="108"/>
      <c r="G475" s="108"/>
      <c r="H475" s="108"/>
    </row>
    <row r="476" spans="1:8" ht="15.75" customHeight="1">
      <c r="A476" s="108"/>
      <c r="B476" s="108"/>
      <c r="C476" s="108"/>
      <c r="D476" s="108"/>
      <c r="E476" s="108"/>
      <c r="F476" s="108"/>
      <c r="G476" s="108"/>
      <c r="H476" s="108"/>
    </row>
    <row r="477" spans="1:8" ht="15.75" customHeight="1">
      <c r="A477" s="108"/>
      <c r="B477" s="108"/>
      <c r="C477" s="108"/>
      <c r="D477" s="108"/>
      <c r="E477" s="108"/>
      <c r="F477" s="108"/>
      <c r="G477" s="108"/>
      <c r="H477" s="108"/>
    </row>
    <row r="478" spans="1:8" ht="15.75" customHeight="1">
      <c r="A478" s="108"/>
      <c r="B478" s="108"/>
      <c r="C478" s="108"/>
      <c r="D478" s="108"/>
      <c r="E478" s="108"/>
      <c r="F478" s="108"/>
      <c r="G478" s="108"/>
      <c r="H478" s="108"/>
    </row>
    <row r="479" spans="1:8" ht="15.75" customHeight="1">
      <c r="A479" s="108"/>
      <c r="B479" s="108"/>
      <c r="C479" s="108"/>
      <c r="D479" s="108"/>
      <c r="E479" s="108"/>
      <c r="F479" s="108"/>
      <c r="G479" s="108"/>
      <c r="H479" s="108"/>
    </row>
    <row r="480" spans="1:8" ht="15.75" customHeight="1">
      <c r="A480" s="108"/>
      <c r="B480" s="108"/>
      <c r="C480" s="108"/>
      <c r="D480" s="108"/>
      <c r="E480" s="108"/>
      <c r="F480" s="108"/>
      <c r="G480" s="108"/>
      <c r="H480" s="108"/>
    </row>
    <row r="481" spans="1:8" ht="15.75" customHeight="1">
      <c r="A481" s="108"/>
      <c r="B481" s="108"/>
      <c r="C481" s="108"/>
      <c r="D481" s="108"/>
      <c r="E481" s="108"/>
      <c r="F481" s="108"/>
      <c r="G481" s="108"/>
      <c r="H481" s="108"/>
    </row>
    <row r="482" spans="1:8" ht="15.75" customHeight="1">
      <c r="A482" s="108"/>
      <c r="B482" s="108"/>
      <c r="C482" s="108"/>
      <c r="D482" s="108"/>
      <c r="E482" s="108"/>
      <c r="F482" s="108"/>
      <c r="G482" s="108"/>
      <c r="H482" s="108"/>
    </row>
    <row r="483" spans="1:8" ht="15.75" customHeight="1">
      <c r="A483" s="108"/>
      <c r="B483" s="108"/>
      <c r="C483" s="108"/>
      <c r="D483" s="108"/>
      <c r="E483" s="108"/>
      <c r="F483" s="108"/>
      <c r="G483" s="108"/>
      <c r="H483" s="108"/>
    </row>
    <row r="484" spans="1:8" ht="15.75" customHeight="1">
      <c r="A484" s="108"/>
      <c r="B484" s="108"/>
      <c r="C484" s="108"/>
      <c r="D484" s="108"/>
      <c r="E484" s="108"/>
      <c r="F484" s="108"/>
      <c r="G484" s="108"/>
      <c r="H484" s="108"/>
    </row>
    <row r="485" spans="1:8" ht="15.75" customHeight="1">
      <c r="A485" s="108"/>
      <c r="B485" s="108"/>
      <c r="C485" s="108"/>
      <c r="D485" s="108"/>
      <c r="E485" s="108"/>
      <c r="F485" s="108"/>
      <c r="G485" s="108"/>
      <c r="H485" s="108"/>
    </row>
    <row r="486" spans="1:8" ht="15.75" customHeight="1">
      <c r="A486" s="108"/>
      <c r="B486" s="108"/>
      <c r="C486" s="108"/>
      <c r="D486" s="108"/>
      <c r="E486" s="108"/>
      <c r="F486" s="108"/>
      <c r="G486" s="108"/>
      <c r="H486" s="108"/>
    </row>
    <row r="487" spans="1:8" ht="15.75" customHeight="1">
      <c r="A487" s="108"/>
      <c r="B487" s="108"/>
      <c r="C487" s="108"/>
      <c r="D487" s="108"/>
      <c r="E487" s="108"/>
      <c r="F487" s="108"/>
      <c r="G487" s="108"/>
      <c r="H487" s="108"/>
    </row>
    <row r="488" spans="1:8" ht="15.75" customHeight="1">
      <c r="A488" s="108"/>
      <c r="B488" s="108"/>
      <c r="C488" s="108"/>
      <c r="D488" s="108"/>
      <c r="E488" s="108"/>
      <c r="F488" s="108"/>
      <c r="G488" s="108"/>
      <c r="H488" s="108"/>
    </row>
    <row r="489" spans="1:8" ht="15.75" customHeight="1">
      <c r="A489" s="108"/>
      <c r="B489" s="108"/>
      <c r="C489" s="108"/>
      <c r="D489" s="108"/>
      <c r="E489" s="108"/>
      <c r="F489" s="108"/>
      <c r="G489" s="108"/>
      <c r="H489" s="108"/>
    </row>
    <row r="490" spans="1:8" ht="15.75" customHeight="1">
      <c r="A490" s="108"/>
      <c r="B490" s="108"/>
      <c r="C490" s="108"/>
      <c r="D490" s="108"/>
      <c r="E490" s="108"/>
      <c r="F490" s="108"/>
      <c r="G490" s="108"/>
      <c r="H490" s="108"/>
    </row>
    <row r="491" spans="1:8" ht="15.75" customHeight="1">
      <c r="A491" s="108"/>
      <c r="B491" s="108"/>
      <c r="C491" s="108"/>
      <c r="D491" s="108"/>
      <c r="E491" s="108"/>
      <c r="F491" s="108"/>
      <c r="G491" s="108"/>
      <c r="H491" s="108"/>
    </row>
    <row r="492" spans="1:8" ht="15.75" customHeight="1">
      <c r="A492" s="108"/>
      <c r="B492" s="108"/>
      <c r="C492" s="108"/>
      <c r="D492" s="108"/>
      <c r="E492" s="108"/>
      <c r="F492" s="108"/>
      <c r="G492" s="108"/>
      <c r="H492" s="108"/>
    </row>
    <row r="493" spans="1:8" ht="15.75" customHeight="1">
      <c r="A493" s="108"/>
      <c r="B493" s="108"/>
      <c r="C493" s="108"/>
      <c r="D493" s="108"/>
      <c r="E493" s="108"/>
      <c r="F493" s="108"/>
      <c r="G493" s="108"/>
      <c r="H493" s="108"/>
    </row>
    <row r="494" spans="1:8" ht="15.75" customHeight="1">
      <c r="A494" s="108"/>
      <c r="B494" s="108"/>
      <c r="C494" s="108"/>
      <c r="D494" s="108"/>
      <c r="E494" s="108"/>
      <c r="F494" s="108"/>
      <c r="G494" s="108"/>
      <c r="H494" s="108"/>
    </row>
    <row r="495" spans="1:8" ht="15.75" customHeight="1">
      <c r="A495" s="108"/>
      <c r="B495" s="108"/>
      <c r="C495" s="108"/>
      <c r="D495" s="108"/>
      <c r="E495" s="108"/>
      <c r="F495" s="108"/>
      <c r="G495" s="108"/>
      <c r="H495" s="108"/>
    </row>
    <row r="496" spans="1:8" ht="15.75" customHeight="1">
      <c r="A496" s="108"/>
      <c r="B496" s="108"/>
      <c r="C496" s="108"/>
      <c r="D496" s="108"/>
      <c r="E496" s="108"/>
      <c r="F496" s="108"/>
      <c r="G496" s="108"/>
      <c r="H496" s="108"/>
    </row>
    <row r="497" spans="1:8" ht="15.75" customHeight="1">
      <c r="A497" s="108"/>
      <c r="B497" s="108"/>
      <c r="C497" s="108"/>
      <c r="D497" s="108"/>
      <c r="E497" s="108"/>
      <c r="F497" s="108"/>
      <c r="G497" s="108"/>
      <c r="H497" s="108"/>
    </row>
    <row r="498" spans="1:8" ht="15.75" customHeight="1">
      <c r="A498" s="108"/>
      <c r="B498" s="108"/>
      <c r="C498" s="108"/>
      <c r="D498" s="108"/>
      <c r="E498" s="108"/>
      <c r="F498" s="108"/>
      <c r="G498" s="108"/>
      <c r="H498" s="108"/>
    </row>
    <row r="499" spans="1:8" ht="15.75" customHeight="1">
      <c r="A499" s="108"/>
      <c r="B499" s="108"/>
      <c r="C499" s="108"/>
      <c r="D499" s="108"/>
      <c r="E499" s="108"/>
      <c r="F499" s="108"/>
      <c r="G499" s="108"/>
      <c r="H499" s="108"/>
    </row>
    <row r="500" spans="1:8" ht="15.75" customHeight="1">
      <c r="A500" s="108"/>
      <c r="B500" s="108"/>
      <c r="C500" s="108"/>
      <c r="D500" s="108"/>
      <c r="E500" s="108"/>
      <c r="F500" s="108"/>
      <c r="G500" s="108"/>
      <c r="H500" s="108"/>
    </row>
    <row r="501" spans="1:8" ht="15.75" customHeight="1">
      <c r="A501" s="108"/>
      <c r="B501" s="108"/>
      <c r="C501" s="108"/>
      <c r="D501" s="108"/>
      <c r="E501" s="108"/>
      <c r="F501" s="108"/>
      <c r="G501" s="108"/>
      <c r="H501" s="108"/>
    </row>
    <row r="502" spans="1:8" ht="15.75" customHeight="1">
      <c r="A502" s="108"/>
      <c r="B502" s="108"/>
      <c r="C502" s="108"/>
      <c r="D502" s="108"/>
      <c r="E502" s="108"/>
      <c r="F502" s="108"/>
      <c r="G502" s="108"/>
      <c r="H502" s="108"/>
    </row>
    <row r="503" spans="1:8" ht="15.75" customHeight="1">
      <c r="A503" s="108"/>
      <c r="B503" s="108"/>
      <c r="C503" s="108"/>
      <c r="D503" s="108"/>
      <c r="E503" s="108"/>
      <c r="F503" s="108"/>
      <c r="G503" s="108"/>
      <c r="H503" s="108"/>
    </row>
    <row r="504" spans="1:8" ht="15.75" customHeight="1">
      <c r="A504" s="108"/>
      <c r="B504" s="108"/>
      <c r="C504" s="108"/>
      <c r="D504" s="108"/>
      <c r="E504" s="108"/>
      <c r="F504" s="108"/>
      <c r="G504" s="108"/>
      <c r="H504" s="108"/>
    </row>
    <row r="505" spans="1:8" ht="15.75" customHeight="1">
      <c r="A505" s="108"/>
      <c r="B505" s="108"/>
      <c r="C505" s="108"/>
      <c r="D505" s="108"/>
      <c r="E505" s="108"/>
      <c r="F505" s="108"/>
      <c r="G505" s="108"/>
      <c r="H505" s="108"/>
    </row>
    <row r="506" spans="1:8" ht="15.75" customHeight="1">
      <c r="A506" s="108"/>
      <c r="B506" s="108"/>
      <c r="C506" s="108"/>
      <c r="D506" s="108"/>
      <c r="E506" s="108"/>
      <c r="F506" s="108"/>
      <c r="G506" s="108"/>
      <c r="H506" s="108"/>
    </row>
    <row r="507" spans="1:8" ht="15.75" customHeight="1">
      <c r="A507" s="108"/>
      <c r="B507" s="108"/>
      <c r="C507" s="108"/>
      <c r="D507" s="108"/>
      <c r="E507" s="108"/>
      <c r="F507" s="108"/>
      <c r="G507" s="108"/>
      <c r="H507" s="108"/>
    </row>
    <row r="508" spans="1:8" ht="15.75" customHeight="1">
      <c r="A508" s="108"/>
      <c r="B508" s="108"/>
      <c r="C508" s="108"/>
      <c r="D508" s="108"/>
      <c r="E508" s="108"/>
      <c r="F508" s="108"/>
      <c r="G508" s="108"/>
      <c r="H508" s="108"/>
    </row>
    <row r="509" spans="1:8" ht="15.75" customHeight="1">
      <c r="A509" s="108"/>
      <c r="B509" s="108"/>
      <c r="C509" s="108"/>
      <c r="D509" s="108"/>
      <c r="E509" s="108"/>
      <c r="F509" s="108"/>
      <c r="G509" s="108"/>
      <c r="H509" s="108"/>
    </row>
    <row r="510" spans="1:8" ht="15.75" customHeight="1">
      <c r="A510" s="108"/>
      <c r="B510" s="108"/>
      <c r="C510" s="108"/>
      <c r="D510" s="108"/>
      <c r="E510" s="108"/>
      <c r="F510" s="108"/>
      <c r="G510" s="108"/>
      <c r="H510" s="108"/>
    </row>
    <row r="511" spans="1:8" ht="15.75" customHeight="1">
      <c r="A511" s="108"/>
      <c r="B511" s="108"/>
      <c r="C511" s="108"/>
      <c r="D511" s="108"/>
      <c r="E511" s="108"/>
      <c r="F511" s="108"/>
      <c r="G511" s="108"/>
      <c r="H511" s="108"/>
    </row>
    <row r="512" spans="1:8" ht="15.75" customHeight="1">
      <c r="A512" s="108"/>
      <c r="B512" s="108"/>
      <c r="C512" s="108"/>
      <c r="D512" s="108"/>
      <c r="E512" s="108"/>
      <c r="F512" s="108"/>
      <c r="G512" s="108"/>
      <c r="H512" s="108"/>
    </row>
    <row r="513" spans="1:8" ht="15.75" customHeight="1">
      <c r="A513" s="108"/>
      <c r="B513" s="108"/>
      <c r="C513" s="108"/>
      <c r="D513" s="108"/>
      <c r="E513" s="108"/>
      <c r="F513" s="108"/>
      <c r="G513" s="108"/>
      <c r="H513" s="108"/>
    </row>
    <row r="514" spans="1:8" ht="15.75" customHeight="1">
      <c r="A514" s="108"/>
      <c r="B514" s="108"/>
      <c r="C514" s="108"/>
      <c r="D514" s="108"/>
      <c r="E514" s="108"/>
      <c r="F514" s="108"/>
      <c r="G514" s="108"/>
      <c r="H514" s="108"/>
    </row>
    <row r="515" spans="1:8" ht="15.75" customHeight="1">
      <c r="A515" s="108"/>
      <c r="B515" s="108"/>
      <c r="C515" s="108"/>
      <c r="D515" s="108"/>
      <c r="E515" s="108"/>
      <c r="F515" s="108"/>
      <c r="G515" s="108"/>
      <c r="H515" s="108"/>
    </row>
    <row r="516" spans="1:8" ht="15.75" customHeight="1">
      <c r="A516" s="108"/>
      <c r="B516" s="108"/>
      <c r="C516" s="108"/>
      <c r="D516" s="108"/>
      <c r="E516" s="108"/>
      <c r="F516" s="108"/>
      <c r="G516" s="108"/>
      <c r="H516" s="108"/>
    </row>
    <row r="517" spans="1:8" ht="15.75" customHeight="1">
      <c r="A517" s="108"/>
      <c r="B517" s="108"/>
      <c r="C517" s="108"/>
      <c r="D517" s="108"/>
      <c r="E517" s="108"/>
      <c r="F517" s="108"/>
      <c r="G517" s="108"/>
      <c r="H517" s="108"/>
    </row>
    <row r="518" spans="1:8" ht="15.75" customHeight="1">
      <c r="A518" s="108"/>
      <c r="B518" s="108"/>
      <c r="C518" s="108"/>
      <c r="D518" s="108"/>
      <c r="E518" s="108"/>
      <c r="F518" s="108"/>
      <c r="G518" s="108"/>
      <c r="H518" s="108"/>
    </row>
    <row r="519" spans="1:8" ht="15.75" customHeight="1">
      <c r="A519" s="108"/>
      <c r="B519" s="108"/>
      <c r="C519" s="108"/>
      <c r="D519" s="108"/>
      <c r="E519" s="108"/>
      <c r="F519" s="108"/>
      <c r="G519" s="108"/>
      <c r="H519" s="108"/>
    </row>
    <row r="520" spans="1:8" ht="15.75" customHeight="1">
      <c r="A520" s="108"/>
      <c r="B520" s="108"/>
      <c r="C520" s="108"/>
      <c r="D520" s="108"/>
      <c r="E520" s="108"/>
      <c r="F520" s="108"/>
      <c r="G520" s="108"/>
      <c r="H520" s="108"/>
    </row>
    <row r="521" spans="1:8" ht="15.75" customHeight="1">
      <c r="A521" s="108"/>
      <c r="B521" s="108"/>
      <c r="C521" s="108"/>
      <c r="D521" s="108"/>
      <c r="E521" s="108"/>
      <c r="F521" s="108"/>
      <c r="G521" s="108"/>
      <c r="H521" s="108"/>
    </row>
    <row r="522" spans="1:8" ht="15.75" customHeight="1">
      <c r="A522" s="108"/>
      <c r="B522" s="108"/>
      <c r="C522" s="108"/>
      <c r="D522" s="108"/>
      <c r="E522" s="108"/>
      <c r="F522" s="108"/>
      <c r="G522" s="108"/>
      <c r="H522" s="108"/>
    </row>
    <row r="523" spans="1:8" ht="15.75" customHeight="1">
      <c r="A523" s="108"/>
      <c r="B523" s="108"/>
      <c r="C523" s="108"/>
      <c r="D523" s="108"/>
      <c r="E523" s="108"/>
      <c r="F523" s="108"/>
      <c r="G523" s="108"/>
      <c r="H523" s="108"/>
    </row>
    <row r="524" spans="1:8" ht="15.75" customHeight="1">
      <c r="A524" s="108"/>
      <c r="B524" s="108"/>
      <c r="C524" s="108"/>
      <c r="D524" s="108"/>
      <c r="E524" s="108"/>
      <c r="F524" s="108"/>
      <c r="G524" s="108"/>
      <c r="H524" s="108"/>
    </row>
    <row r="525" spans="1:8" ht="15.75" customHeight="1">
      <c r="A525" s="108"/>
      <c r="B525" s="108"/>
      <c r="C525" s="108"/>
      <c r="D525" s="108"/>
      <c r="E525" s="108"/>
      <c r="F525" s="108"/>
      <c r="G525" s="108"/>
      <c r="H525" s="108"/>
    </row>
    <row r="526" spans="1:8" ht="15.75" customHeight="1">
      <c r="A526" s="108"/>
      <c r="B526" s="108"/>
      <c r="C526" s="108"/>
      <c r="D526" s="108"/>
      <c r="E526" s="108"/>
      <c r="F526" s="108"/>
      <c r="G526" s="108"/>
      <c r="H526" s="108"/>
    </row>
    <row r="527" spans="1:8" ht="15.75" customHeight="1">
      <c r="A527" s="108"/>
      <c r="B527" s="108"/>
      <c r="C527" s="108"/>
      <c r="D527" s="108"/>
      <c r="E527" s="108"/>
      <c r="F527" s="108"/>
      <c r="G527" s="108"/>
      <c r="H527" s="108"/>
    </row>
    <row r="528" spans="1:8" ht="15.75" customHeight="1">
      <c r="A528" s="108"/>
      <c r="B528" s="108"/>
      <c r="C528" s="108"/>
      <c r="D528" s="108"/>
      <c r="E528" s="108"/>
      <c r="F528" s="108"/>
      <c r="G528" s="108"/>
      <c r="H528" s="108"/>
    </row>
    <row r="529" spans="1:8" ht="15.75" customHeight="1">
      <c r="A529" s="108"/>
      <c r="B529" s="108"/>
      <c r="C529" s="108"/>
      <c r="D529" s="108"/>
      <c r="E529" s="108"/>
      <c r="F529" s="108"/>
      <c r="G529" s="108"/>
      <c r="H529" s="108"/>
    </row>
    <row r="530" spans="1:8" ht="15.75" customHeight="1">
      <c r="A530" s="108"/>
      <c r="B530" s="108"/>
      <c r="C530" s="108"/>
      <c r="D530" s="108"/>
      <c r="E530" s="108"/>
      <c r="F530" s="108"/>
      <c r="G530" s="108"/>
      <c r="H530" s="108"/>
    </row>
    <row r="531" spans="1:8" ht="15.75" customHeight="1">
      <c r="A531" s="108"/>
      <c r="B531" s="108"/>
      <c r="C531" s="108"/>
      <c r="D531" s="108"/>
      <c r="E531" s="108"/>
      <c r="F531" s="108"/>
      <c r="G531" s="108"/>
      <c r="H531" s="108"/>
    </row>
    <row r="532" spans="1:8" ht="15.75" customHeight="1">
      <c r="A532" s="108"/>
      <c r="B532" s="108"/>
      <c r="C532" s="108"/>
      <c r="D532" s="108"/>
      <c r="E532" s="108"/>
      <c r="F532" s="108"/>
      <c r="G532" s="108"/>
      <c r="H532" s="108"/>
    </row>
    <row r="533" spans="1:8" ht="15.75" customHeight="1">
      <c r="A533" s="108"/>
      <c r="B533" s="108"/>
      <c r="C533" s="108"/>
      <c r="D533" s="108"/>
      <c r="E533" s="108"/>
      <c r="F533" s="108"/>
      <c r="G533" s="108"/>
      <c r="H533" s="108"/>
    </row>
    <row r="534" spans="1:8" ht="15.75" customHeight="1">
      <c r="A534" s="108"/>
      <c r="B534" s="108"/>
      <c r="C534" s="108"/>
      <c r="D534" s="108"/>
      <c r="E534" s="108"/>
      <c r="F534" s="108"/>
      <c r="G534" s="108"/>
      <c r="H534" s="108"/>
    </row>
    <row r="535" spans="1:8" ht="15.75" customHeight="1">
      <c r="A535" s="108"/>
      <c r="B535" s="108"/>
      <c r="C535" s="108"/>
      <c r="D535" s="108"/>
      <c r="E535" s="108"/>
      <c r="F535" s="108"/>
      <c r="G535" s="108"/>
      <c r="H535" s="108"/>
    </row>
    <row r="536" spans="1:8" ht="15.75" customHeight="1">
      <c r="A536" s="108"/>
      <c r="B536" s="108"/>
      <c r="C536" s="108"/>
      <c r="D536" s="108"/>
      <c r="E536" s="108"/>
      <c r="F536" s="108"/>
      <c r="G536" s="108"/>
      <c r="H536" s="108"/>
    </row>
    <row r="537" spans="1:8" ht="15.75" customHeight="1">
      <c r="A537" s="108"/>
      <c r="B537" s="108"/>
      <c r="C537" s="108"/>
      <c r="D537" s="108"/>
      <c r="E537" s="108"/>
      <c r="F537" s="108"/>
      <c r="G537" s="108"/>
      <c r="H537" s="108"/>
    </row>
    <row r="538" spans="1:8" ht="15.75" customHeight="1">
      <c r="A538" s="108"/>
      <c r="B538" s="108"/>
      <c r="C538" s="108"/>
      <c r="D538" s="108"/>
      <c r="E538" s="108"/>
      <c r="F538" s="108"/>
      <c r="G538" s="108"/>
      <c r="H538" s="108"/>
    </row>
    <row r="539" spans="1:8" ht="15.75" customHeight="1">
      <c r="A539" s="108"/>
      <c r="B539" s="108"/>
      <c r="C539" s="108"/>
      <c r="D539" s="108"/>
      <c r="E539" s="108"/>
      <c r="F539" s="108"/>
      <c r="G539" s="108"/>
      <c r="H539" s="108"/>
    </row>
    <row r="540" spans="1:8" ht="15.75" customHeight="1">
      <c r="A540" s="108"/>
      <c r="B540" s="108"/>
      <c r="C540" s="108"/>
      <c r="D540" s="108"/>
      <c r="E540" s="108"/>
      <c r="F540" s="108"/>
      <c r="G540" s="108"/>
      <c r="H540" s="108"/>
    </row>
    <row r="541" spans="1:8" ht="15.75" customHeight="1">
      <c r="A541" s="108"/>
      <c r="B541" s="108"/>
      <c r="C541" s="108"/>
      <c r="D541" s="108"/>
      <c r="E541" s="108"/>
      <c r="F541" s="108"/>
      <c r="G541" s="108"/>
      <c r="H541" s="108"/>
    </row>
    <row r="542" spans="1:8" ht="15.75" customHeight="1">
      <c r="A542" s="108"/>
      <c r="B542" s="108"/>
      <c r="C542" s="108"/>
      <c r="D542" s="108"/>
      <c r="E542" s="108"/>
      <c r="F542" s="108"/>
      <c r="G542" s="108"/>
      <c r="H542" s="108"/>
    </row>
    <row r="543" spans="1:8" ht="15.75" customHeight="1">
      <c r="A543" s="108"/>
      <c r="B543" s="108"/>
      <c r="C543" s="108"/>
      <c r="D543" s="108"/>
      <c r="E543" s="108"/>
      <c r="F543" s="108"/>
      <c r="G543" s="108"/>
      <c r="H543" s="108"/>
    </row>
    <row r="544" spans="1:8" ht="15.75" customHeight="1">
      <c r="A544" s="108"/>
      <c r="B544" s="108"/>
      <c r="C544" s="108"/>
      <c r="D544" s="108"/>
      <c r="E544" s="108"/>
      <c r="F544" s="108"/>
      <c r="G544" s="108"/>
      <c r="H544" s="108"/>
    </row>
    <row r="545" spans="1:8" ht="15.75" customHeight="1">
      <c r="A545" s="108"/>
      <c r="B545" s="108"/>
      <c r="C545" s="108"/>
      <c r="D545" s="108"/>
      <c r="E545" s="108"/>
      <c r="F545" s="108"/>
      <c r="G545" s="108"/>
      <c r="H545" s="108"/>
    </row>
    <row r="546" spans="1:8" ht="15.75" customHeight="1">
      <c r="A546" s="108"/>
      <c r="B546" s="108"/>
      <c r="C546" s="108"/>
      <c r="D546" s="108"/>
      <c r="E546" s="108"/>
      <c r="F546" s="108"/>
      <c r="G546" s="108"/>
      <c r="H546" s="108"/>
    </row>
    <row r="547" spans="1:8" ht="15.75" customHeight="1">
      <c r="A547" s="108"/>
      <c r="B547" s="108"/>
      <c r="C547" s="108"/>
      <c r="D547" s="108"/>
      <c r="E547" s="108"/>
      <c r="F547" s="108"/>
      <c r="G547" s="108"/>
      <c r="H547" s="108"/>
    </row>
    <row r="548" spans="1:8" ht="15.75" customHeight="1">
      <c r="A548" s="108"/>
      <c r="B548" s="108"/>
      <c r="C548" s="108"/>
      <c r="D548" s="108"/>
      <c r="E548" s="108"/>
      <c r="F548" s="108"/>
      <c r="G548" s="108"/>
      <c r="H548" s="108"/>
    </row>
    <row r="549" spans="1:8" ht="15.75" customHeight="1">
      <c r="A549" s="108"/>
      <c r="B549" s="108"/>
      <c r="C549" s="108"/>
      <c r="D549" s="108"/>
      <c r="E549" s="108"/>
      <c r="F549" s="108"/>
      <c r="G549" s="108"/>
      <c r="H549" s="108"/>
    </row>
    <row r="550" spans="1:8" ht="15.75" customHeight="1">
      <c r="A550" s="108"/>
      <c r="B550" s="108"/>
      <c r="C550" s="108"/>
      <c r="D550" s="108"/>
      <c r="E550" s="108"/>
      <c r="F550" s="108"/>
      <c r="G550" s="108"/>
      <c r="H550" s="108"/>
    </row>
    <row r="551" spans="1:8" ht="15.75" customHeight="1">
      <c r="A551" s="108"/>
      <c r="B551" s="108"/>
      <c r="C551" s="108"/>
      <c r="D551" s="108"/>
      <c r="E551" s="108"/>
      <c r="F551" s="108"/>
      <c r="G551" s="108"/>
      <c r="H551" s="108"/>
    </row>
    <row r="552" spans="1:8" ht="15.75" customHeight="1">
      <c r="A552" s="108"/>
      <c r="B552" s="108"/>
      <c r="C552" s="108"/>
      <c r="D552" s="108"/>
      <c r="E552" s="108"/>
      <c r="F552" s="108"/>
      <c r="G552" s="108"/>
      <c r="H552" s="108"/>
    </row>
    <row r="553" spans="1:8" ht="15.75" customHeight="1">
      <c r="A553" s="108"/>
      <c r="B553" s="108"/>
      <c r="C553" s="108"/>
      <c r="D553" s="108"/>
      <c r="E553" s="108"/>
      <c r="F553" s="108"/>
      <c r="G553" s="108"/>
      <c r="H553" s="108"/>
    </row>
    <row r="554" spans="1:8" ht="15.75" customHeight="1">
      <c r="A554" s="108"/>
      <c r="B554" s="108"/>
      <c r="C554" s="108"/>
      <c r="D554" s="108"/>
      <c r="E554" s="108"/>
      <c r="F554" s="108"/>
      <c r="G554" s="108"/>
      <c r="H554" s="108"/>
    </row>
    <row r="555" spans="1:8" ht="15.75" customHeight="1">
      <c r="A555" s="108"/>
      <c r="B555" s="108"/>
      <c r="C555" s="108"/>
      <c r="D555" s="108"/>
      <c r="E555" s="108"/>
      <c r="F555" s="108"/>
      <c r="G555" s="108"/>
      <c r="H555" s="108"/>
    </row>
    <row r="556" spans="1:8" ht="15.75" customHeight="1">
      <c r="A556" s="108"/>
      <c r="B556" s="108"/>
      <c r="C556" s="108"/>
      <c r="D556" s="108"/>
      <c r="E556" s="108"/>
      <c r="F556" s="108"/>
      <c r="G556" s="108"/>
      <c r="H556" s="108"/>
    </row>
    <row r="557" spans="1:8" ht="15.75" customHeight="1">
      <c r="A557" s="108"/>
      <c r="B557" s="108"/>
      <c r="C557" s="108"/>
      <c r="D557" s="108"/>
      <c r="E557" s="108"/>
      <c r="F557" s="108"/>
      <c r="G557" s="108"/>
      <c r="H557" s="108"/>
    </row>
    <row r="558" spans="1:8" ht="15.75" customHeight="1">
      <c r="A558" s="108"/>
      <c r="B558" s="108"/>
      <c r="C558" s="108"/>
      <c r="D558" s="108"/>
      <c r="E558" s="108"/>
      <c r="F558" s="108"/>
      <c r="G558" s="108"/>
      <c r="H558" s="108"/>
    </row>
    <row r="559" spans="1:8" ht="15.75" customHeight="1">
      <c r="A559" s="108"/>
      <c r="B559" s="108"/>
      <c r="C559" s="108"/>
      <c r="D559" s="108"/>
      <c r="E559" s="108"/>
      <c r="F559" s="108"/>
      <c r="G559" s="108"/>
      <c r="H559" s="108"/>
    </row>
    <row r="560" spans="1:8" ht="15.75" customHeight="1">
      <c r="A560" s="108"/>
      <c r="B560" s="108"/>
      <c r="C560" s="108"/>
      <c r="D560" s="108"/>
      <c r="E560" s="108"/>
      <c r="F560" s="108"/>
      <c r="G560" s="108"/>
      <c r="H560" s="108"/>
    </row>
    <row r="561" spans="1:8" ht="15.75" customHeight="1">
      <c r="A561" s="108"/>
      <c r="B561" s="108"/>
      <c r="C561" s="108"/>
      <c r="D561" s="108"/>
      <c r="E561" s="108"/>
      <c r="F561" s="108"/>
      <c r="G561" s="108"/>
      <c r="H561" s="108"/>
    </row>
    <row r="562" spans="1:8" ht="15.75" customHeight="1">
      <c r="A562" s="108"/>
      <c r="B562" s="108"/>
      <c r="C562" s="108"/>
      <c r="D562" s="108"/>
      <c r="E562" s="108"/>
      <c r="F562" s="108"/>
      <c r="G562" s="108"/>
      <c r="H562" s="108"/>
    </row>
    <row r="563" spans="1:8" ht="15.75" customHeight="1">
      <c r="A563" s="108"/>
      <c r="B563" s="108"/>
      <c r="C563" s="108"/>
      <c r="D563" s="108"/>
      <c r="E563" s="108"/>
      <c r="F563" s="108"/>
      <c r="G563" s="108"/>
      <c r="H563" s="108"/>
    </row>
    <row r="564" spans="1:8" ht="15.75" customHeight="1">
      <c r="A564" s="108"/>
      <c r="B564" s="108"/>
      <c r="C564" s="108"/>
      <c r="D564" s="108"/>
      <c r="E564" s="108"/>
      <c r="F564" s="108"/>
      <c r="G564" s="108"/>
      <c r="H564" s="108"/>
    </row>
    <row r="565" spans="1:8" ht="15.75" customHeight="1">
      <c r="A565" s="108"/>
      <c r="B565" s="108"/>
      <c r="C565" s="108"/>
      <c r="D565" s="108"/>
      <c r="E565" s="108"/>
      <c r="F565" s="108"/>
      <c r="G565" s="108"/>
      <c r="H565" s="108"/>
    </row>
    <row r="566" spans="1:8" ht="15.75" customHeight="1">
      <c r="A566" s="108"/>
      <c r="B566" s="108"/>
      <c r="C566" s="108"/>
      <c r="D566" s="108"/>
      <c r="E566" s="108"/>
      <c r="F566" s="108"/>
      <c r="G566" s="108"/>
      <c r="H566" s="108"/>
    </row>
    <row r="567" spans="1:8" ht="15.75" customHeight="1">
      <c r="A567" s="108"/>
      <c r="B567" s="108"/>
      <c r="C567" s="108"/>
      <c r="D567" s="108"/>
      <c r="E567" s="108"/>
      <c r="F567" s="108"/>
      <c r="G567" s="108"/>
      <c r="H567" s="108"/>
    </row>
    <row r="568" spans="1:8" ht="15.75" customHeight="1">
      <c r="A568" s="108"/>
      <c r="B568" s="108"/>
      <c r="C568" s="108"/>
      <c r="D568" s="108"/>
      <c r="E568" s="108"/>
      <c r="F568" s="108"/>
      <c r="G568" s="108"/>
      <c r="H568" s="108"/>
    </row>
    <row r="569" spans="1:8" ht="15.75" customHeight="1">
      <c r="A569" s="108"/>
      <c r="B569" s="108"/>
      <c r="C569" s="108"/>
      <c r="D569" s="108"/>
      <c r="E569" s="108"/>
      <c r="F569" s="108"/>
      <c r="G569" s="108"/>
      <c r="H569" s="108"/>
    </row>
    <row r="570" spans="1:8" ht="15.75" customHeight="1">
      <c r="A570" s="108"/>
      <c r="B570" s="108"/>
      <c r="C570" s="108"/>
      <c r="D570" s="108"/>
      <c r="E570" s="108"/>
      <c r="F570" s="108"/>
      <c r="G570" s="108"/>
      <c r="H570" s="108"/>
    </row>
    <row r="571" spans="1:8" ht="15.75" customHeight="1">
      <c r="A571" s="108"/>
      <c r="B571" s="108"/>
      <c r="C571" s="108"/>
      <c r="D571" s="108"/>
      <c r="E571" s="108"/>
      <c r="F571" s="108"/>
      <c r="G571" s="108"/>
      <c r="H571" s="108"/>
    </row>
    <row r="572" spans="1:8" ht="15.75" customHeight="1">
      <c r="A572" s="108"/>
      <c r="B572" s="108"/>
      <c r="C572" s="108"/>
      <c r="D572" s="108"/>
      <c r="E572" s="108"/>
      <c r="F572" s="108"/>
      <c r="G572" s="108"/>
      <c r="H572" s="108"/>
    </row>
    <row r="573" spans="1:8" ht="15.75" customHeight="1">
      <c r="A573" s="108"/>
      <c r="B573" s="108"/>
      <c r="C573" s="108"/>
      <c r="D573" s="108"/>
      <c r="E573" s="108"/>
      <c r="F573" s="108"/>
      <c r="G573" s="108"/>
      <c r="H573" s="108"/>
    </row>
    <row r="574" spans="1:8" ht="15.75" customHeight="1">
      <c r="A574" s="108"/>
      <c r="B574" s="108"/>
      <c r="C574" s="108"/>
      <c r="D574" s="108"/>
      <c r="E574" s="108"/>
      <c r="F574" s="108"/>
      <c r="G574" s="108"/>
      <c r="H574" s="108"/>
    </row>
    <row r="575" spans="1:8" ht="15.75" customHeight="1">
      <c r="A575" s="108"/>
      <c r="B575" s="108"/>
      <c r="C575" s="108"/>
      <c r="D575" s="108"/>
      <c r="E575" s="108"/>
      <c r="F575" s="108"/>
      <c r="G575" s="108"/>
      <c r="H575" s="108"/>
    </row>
    <row r="576" spans="1:8" ht="15.75" customHeight="1">
      <c r="A576" s="108"/>
      <c r="B576" s="108"/>
      <c r="C576" s="108"/>
      <c r="D576" s="108"/>
      <c r="E576" s="108"/>
      <c r="F576" s="108"/>
      <c r="G576" s="108"/>
      <c r="H576" s="108"/>
    </row>
    <row r="577" spans="1:8" ht="15.75" customHeight="1">
      <c r="A577" s="108"/>
      <c r="B577" s="108"/>
      <c r="C577" s="108"/>
      <c r="D577" s="108"/>
      <c r="E577" s="108"/>
      <c r="F577" s="108"/>
      <c r="G577" s="108"/>
      <c r="H577" s="108"/>
    </row>
    <row r="578" spans="1:8" ht="15.75" customHeight="1">
      <c r="A578" s="108"/>
      <c r="B578" s="108"/>
      <c r="C578" s="108"/>
      <c r="D578" s="108"/>
      <c r="E578" s="108"/>
      <c r="F578" s="108"/>
      <c r="G578" s="108"/>
      <c r="H578" s="108"/>
    </row>
    <row r="579" spans="1:8" ht="15.75" customHeight="1">
      <c r="A579" s="108"/>
      <c r="B579" s="108"/>
      <c r="C579" s="108"/>
      <c r="D579" s="108"/>
      <c r="E579" s="108"/>
      <c r="F579" s="108"/>
      <c r="G579" s="108"/>
      <c r="H579" s="108"/>
    </row>
    <row r="580" spans="1:8" ht="15.75" customHeight="1">
      <c r="A580" s="108"/>
      <c r="B580" s="108"/>
      <c r="C580" s="108"/>
      <c r="D580" s="108"/>
      <c r="E580" s="108"/>
      <c r="F580" s="108"/>
      <c r="G580" s="108"/>
      <c r="H580" s="108"/>
    </row>
    <row r="581" spans="1:8" ht="15.75" customHeight="1">
      <c r="A581" s="108"/>
      <c r="B581" s="108"/>
      <c r="C581" s="108"/>
      <c r="D581" s="108"/>
      <c r="E581" s="108"/>
      <c r="F581" s="108"/>
      <c r="G581" s="108"/>
      <c r="H581" s="108"/>
    </row>
    <row r="582" spans="1:8" ht="15.75" customHeight="1">
      <c r="A582" s="108"/>
      <c r="B582" s="108"/>
      <c r="C582" s="108"/>
      <c r="D582" s="108"/>
      <c r="E582" s="108"/>
      <c r="F582" s="108"/>
      <c r="G582" s="108"/>
      <c r="H582" s="108"/>
    </row>
    <row r="583" spans="1:8" ht="15.75" customHeight="1">
      <c r="A583" s="108"/>
      <c r="B583" s="108"/>
      <c r="C583" s="108"/>
      <c r="D583" s="108"/>
      <c r="E583" s="108"/>
      <c r="F583" s="108"/>
      <c r="G583" s="108"/>
      <c r="H583" s="108"/>
    </row>
    <row r="584" spans="1:8" ht="15.75" customHeight="1">
      <c r="A584" s="108"/>
      <c r="B584" s="108"/>
      <c r="C584" s="108"/>
      <c r="D584" s="108"/>
      <c r="E584" s="108"/>
      <c r="F584" s="108"/>
      <c r="G584" s="108"/>
      <c r="H584" s="108"/>
    </row>
    <row r="585" spans="1:8" ht="15.75" customHeight="1">
      <c r="A585" s="108"/>
      <c r="B585" s="108"/>
      <c r="C585" s="108"/>
      <c r="D585" s="108"/>
      <c r="E585" s="108"/>
      <c r="F585" s="108"/>
      <c r="G585" s="108"/>
      <c r="H585" s="108"/>
    </row>
    <row r="586" spans="1:8" ht="15.75" customHeight="1">
      <c r="A586" s="108"/>
      <c r="B586" s="108"/>
      <c r="C586" s="108"/>
      <c r="D586" s="108"/>
      <c r="E586" s="108"/>
      <c r="F586" s="108"/>
      <c r="G586" s="108"/>
      <c r="H586" s="108"/>
    </row>
    <row r="587" spans="1:8" ht="15.75" customHeight="1">
      <c r="A587" s="108"/>
      <c r="B587" s="108"/>
      <c r="C587" s="108"/>
      <c r="D587" s="108"/>
      <c r="E587" s="108"/>
      <c r="F587" s="108"/>
      <c r="G587" s="108"/>
      <c r="H587" s="108"/>
    </row>
    <row r="588" spans="1:8" ht="15.75" customHeight="1">
      <c r="A588" s="108"/>
      <c r="B588" s="108"/>
      <c r="C588" s="108"/>
      <c r="D588" s="108"/>
      <c r="E588" s="108"/>
      <c r="F588" s="108"/>
      <c r="G588" s="108"/>
      <c r="H588" s="108"/>
    </row>
    <row r="589" spans="1:8" ht="15.75" customHeight="1">
      <c r="A589" s="108"/>
      <c r="B589" s="108"/>
      <c r="C589" s="108"/>
      <c r="D589" s="108"/>
      <c r="E589" s="108"/>
      <c r="F589" s="108"/>
      <c r="G589" s="108"/>
      <c r="H589" s="108"/>
    </row>
    <row r="590" spans="1:8" ht="15.75" customHeight="1">
      <c r="A590" s="108"/>
      <c r="B590" s="108"/>
      <c r="C590" s="108"/>
      <c r="D590" s="108"/>
      <c r="E590" s="108"/>
      <c r="F590" s="108"/>
      <c r="G590" s="108"/>
      <c r="H590" s="108"/>
    </row>
    <row r="591" spans="1:8" ht="15.75" customHeight="1">
      <c r="A591" s="108"/>
      <c r="B591" s="108"/>
      <c r="C591" s="108"/>
      <c r="D591" s="108"/>
      <c r="E591" s="108"/>
      <c r="F591" s="108"/>
      <c r="G591" s="108"/>
      <c r="H591" s="108"/>
    </row>
    <row r="592" spans="1:8" ht="15.75" customHeight="1">
      <c r="A592" s="108"/>
      <c r="B592" s="108"/>
      <c r="C592" s="108"/>
      <c r="D592" s="108"/>
      <c r="E592" s="108"/>
      <c r="F592" s="108"/>
      <c r="G592" s="108"/>
      <c r="H592" s="108"/>
    </row>
    <row r="593" spans="1:8" ht="15.75" customHeight="1">
      <c r="A593" s="108"/>
      <c r="B593" s="108"/>
      <c r="C593" s="108"/>
      <c r="D593" s="108"/>
      <c r="E593" s="108"/>
      <c r="F593" s="108"/>
      <c r="G593" s="108"/>
      <c r="H593" s="108"/>
    </row>
    <row r="594" spans="1:8" ht="15.75" customHeight="1">
      <c r="A594" s="108"/>
      <c r="B594" s="108"/>
      <c r="C594" s="108"/>
      <c r="D594" s="108"/>
      <c r="E594" s="108"/>
      <c r="F594" s="108"/>
      <c r="G594" s="108"/>
      <c r="H594" s="108"/>
    </row>
    <row r="595" spans="1:8" ht="15.75" customHeight="1">
      <c r="A595" s="108"/>
      <c r="B595" s="108"/>
      <c r="C595" s="108"/>
      <c r="D595" s="108"/>
      <c r="E595" s="108"/>
      <c r="F595" s="108"/>
      <c r="G595" s="108"/>
      <c r="H595" s="108"/>
    </row>
    <row r="596" spans="1:8" ht="15.75" customHeight="1">
      <c r="A596" s="108"/>
      <c r="B596" s="108"/>
      <c r="C596" s="108"/>
      <c r="D596" s="108"/>
      <c r="E596" s="108"/>
      <c r="F596" s="108"/>
      <c r="G596" s="108"/>
      <c r="H596" s="108"/>
    </row>
    <row r="597" spans="1:8" ht="15.75" customHeight="1">
      <c r="A597" s="108"/>
      <c r="B597" s="108"/>
      <c r="C597" s="108"/>
      <c r="D597" s="108"/>
      <c r="E597" s="108"/>
      <c r="F597" s="108"/>
      <c r="G597" s="108"/>
      <c r="H597" s="108"/>
    </row>
    <row r="598" spans="1:8" ht="15.75" customHeight="1">
      <c r="A598" s="108"/>
      <c r="B598" s="108"/>
      <c r="C598" s="108"/>
      <c r="D598" s="108"/>
      <c r="E598" s="108"/>
      <c r="F598" s="108"/>
      <c r="G598" s="108"/>
      <c r="H598" s="108"/>
    </row>
    <row r="599" spans="1:8" ht="15.75" customHeight="1">
      <c r="A599" s="108"/>
      <c r="B599" s="108"/>
      <c r="C599" s="108"/>
      <c r="D599" s="108"/>
      <c r="E599" s="108"/>
      <c r="F599" s="108"/>
      <c r="G599" s="108"/>
      <c r="H599" s="108"/>
    </row>
    <row r="600" spans="1:8" ht="15.75" customHeight="1">
      <c r="A600" s="108"/>
      <c r="B600" s="108"/>
      <c r="C600" s="108"/>
      <c r="D600" s="108"/>
      <c r="E600" s="108"/>
      <c r="F600" s="108"/>
      <c r="G600" s="108"/>
      <c r="H600" s="108"/>
    </row>
    <row r="601" spans="1:8" ht="15.75" customHeight="1">
      <c r="A601" s="108"/>
      <c r="B601" s="108"/>
      <c r="C601" s="108"/>
      <c r="D601" s="108"/>
      <c r="E601" s="108"/>
      <c r="F601" s="108"/>
      <c r="G601" s="108"/>
      <c r="H601" s="108"/>
    </row>
    <row r="602" spans="1:8" ht="15.75" customHeight="1">
      <c r="A602" s="108"/>
      <c r="B602" s="108"/>
      <c r="C602" s="108"/>
      <c r="D602" s="108"/>
      <c r="E602" s="108"/>
      <c r="F602" s="108"/>
      <c r="G602" s="108"/>
      <c r="H602" s="108"/>
    </row>
    <row r="603" spans="1:8" ht="15.75" customHeight="1">
      <c r="A603" s="108"/>
      <c r="B603" s="108"/>
      <c r="C603" s="108"/>
      <c r="D603" s="108"/>
      <c r="E603" s="108"/>
      <c r="F603" s="108"/>
      <c r="G603" s="108"/>
      <c r="H603" s="108"/>
    </row>
    <row r="604" spans="1:8" ht="15.75" customHeight="1">
      <c r="A604" s="108"/>
      <c r="B604" s="108"/>
      <c r="C604" s="108"/>
      <c r="D604" s="108"/>
      <c r="E604" s="108"/>
      <c r="F604" s="108"/>
      <c r="G604" s="108"/>
      <c r="H604" s="108"/>
    </row>
    <row r="605" spans="1:8" ht="15.75" customHeight="1">
      <c r="A605" s="108"/>
      <c r="B605" s="108"/>
      <c r="C605" s="108"/>
      <c r="D605" s="108"/>
      <c r="E605" s="108"/>
      <c r="F605" s="108"/>
      <c r="G605" s="108"/>
      <c r="H605" s="108"/>
    </row>
    <row r="606" spans="1:8" ht="15.75" customHeight="1">
      <c r="A606" s="108"/>
      <c r="B606" s="108"/>
      <c r="C606" s="108"/>
      <c r="D606" s="108"/>
      <c r="E606" s="108"/>
      <c r="F606" s="108"/>
      <c r="G606" s="108"/>
      <c r="H606" s="108"/>
    </row>
    <row r="607" spans="1:8" ht="15.75" customHeight="1">
      <c r="A607" s="108"/>
      <c r="B607" s="108"/>
      <c r="C607" s="108"/>
      <c r="D607" s="108"/>
      <c r="E607" s="108"/>
      <c r="F607" s="108"/>
      <c r="G607" s="108"/>
      <c r="H607" s="108"/>
    </row>
    <row r="608" spans="1:8" ht="15.75" customHeight="1">
      <c r="A608" s="108"/>
      <c r="B608" s="108"/>
      <c r="C608" s="108"/>
      <c r="D608" s="108"/>
      <c r="E608" s="108"/>
      <c r="F608" s="108"/>
      <c r="G608" s="108"/>
      <c r="H608" s="108"/>
    </row>
    <row r="609" spans="1:8" ht="15.75" customHeight="1">
      <c r="A609" s="108"/>
      <c r="B609" s="108"/>
      <c r="C609" s="108"/>
      <c r="D609" s="108"/>
      <c r="E609" s="108"/>
      <c r="F609" s="108"/>
      <c r="G609" s="108"/>
      <c r="H609" s="108"/>
    </row>
    <row r="610" spans="1:8" ht="15.75" customHeight="1">
      <c r="A610" s="108"/>
      <c r="B610" s="108"/>
      <c r="C610" s="108"/>
      <c r="D610" s="108"/>
      <c r="E610" s="108"/>
      <c r="F610" s="108"/>
      <c r="G610" s="108"/>
      <c r="H610" s="108"/>
    </row>
    <row r="611" spans="1:8" ht="15.75" customHeight="1">
      <c r="A611" s="108"/>
      <c r="B611" s="108"/>
      <c r="C611" s="108"/>
      <c r="D611" s="108"/>
      <c r="E611" s="108"/>
      <c r="F611" s="108"/>
      <c r="G611" s="108"/>
      <c r="H611" s="108"/>
    </row>
    <row r="612" spans="1:8" ht="15.75" customHeight="1">
      <c r="A612" s="108"/>
      <c r="B612" s="108"/>
      <c r="C612" s="108"/>
      <c r="D612" s="108"/>
      <c r="E612" s="108"/>
      <c r="F612" s="108"/>
      <c r="G612" s="108"/>
      <c r="H612" s="108"/>
    </row>
    <row r="613" spans="1:8" ht="15.75" customHeight="1">
      <c r="A613" s="108"/>
      <c r="B613" s="108"/>
      <c r="C613" s="108"/>
      <c r="D613" s="108"/>
      <c r="E613" s="108"/>
      <c r="F613" s="108"/>
      <c r="G613" s="108"/>
      <c r="H613" s="108"/>
    </row>
    <row r="614" spans="1:8" ht="15.75" customHeight="1">
      <c r="A614" s="108"/>
      <c r="B614" s="108"/>
      <c r="C614" s="108"/>
      <c r="D614" s="108"/>
      <c r="E614" s="108"/>
      <c r="F614" s="108"/>
      <c r="G614" s="108"/>
      <c r="H614" s="108"/>
    </row>
    <row r="615" spans="1:8" ht="15.75" customHeight="1">
      <c r="A615" s="108"/>
      <c r="B615" s="108"/>
      <c r="C615" s="108"/>
      <c r="D615" s="108"/>
      <c r="E615" s="108"/>
      <c r="F615" s="108"/>
      <c r="G615" s="108"/>
      <c r="H615" s="108"/>
    </row>
    <row r="616" spans="1:8" ht="15.75" customHeight="1">
      <c r="A616" s="108"/>
      <c r="B616" s="108"/>
      <c r="C616" s="108"/>
      <c r="D616" s="108"/>
      <c r="E616" s="108"/>
      <c r="F616" s="108"/>
      <c r="G616" s="108"/>
      <c r="H616" s="108"/>
    </row>
    <row r="617" spans="1:8" ht="15.75" customHeight="1">
      <c r="A617" s="108"/>
      <c r="B617" s="108"/>
      <c r="C617" s="108"/>
      <c r="D617" s="108"/>
      <c r="E617" s="108"/>
      <c r="F617" s="108"/>
      <c r="G617" s="108"/>
      <c r="H617" s="108"/>
    </row>
    <row r="618" spans="1:8" ht="15.75" customHeight="1">
      <c r="A618" s="108"/>
      <c r="B618" s="108"/>
      <c r="C618" s="108"/>
      <c r="D618" s="108"/>
      <c r="E618" s="108"/>
      <c r="F618" s="108"/>
      <c r="G618" s="108"/>
      <c r="H618" s="108"/>
    </row>
    <row r="619" spans="1:8" ht="15.75" customHeight="1">
      <c r="A619" s="108"/>
      <c r="B619" s="108"/>
      <c r="C619" s="108"/>
      <c r="D619" s="108"/>
      <c r="E619" s="108"/>
      <c r="F619" s="108"/>
      <c r="G619" s="108"/>
      <c r="H619" s="108"/>
    </row>
    <row r="620" spans="1:8" ht="15.75" customHeight="1">
      <c r="A620" s="108"/>
      <c r="B620" s="108"/>
      <c r="C620" s="108"/>
      <c r="D620" s="108"/>
      <c r="E620" s="108"/>
      <c r="F620" s="108"/>
      <c r="G620" s="108"/>
      <c r="H620" s="108"/>
    </row>
    <row r="621" spans="1:8" ht="15.75" customHeight="1">
      <c r="A621" s="108"/>
      <c r="B621" s="108"/>
      <c r="C621" s="108"/>
      <c r="D621" s="108"/>
      <c r="E621" s="108"/>
      <c r="F621" s="108"/>
      <c r="G621" s="108"/>
      <c r="H621" s="108"/>
    </row>
    <row r="622" spans="1:8" ht="15.75" customHeight="1">
      <c r="A622" s="108"/>
      <c r="B622" s="108"/>
      <c r="C622" s="108"/>
      <c r="D622" s="108"/>
      <c r="E622" s="108"/>
      <c r="F622" s="108"/>
      <c r="G622" s="108"/>
      <c r="H622" s="108"/>
    </row>
    <row r="623" spans="1:8" ht="15.75" customHeight="1">
      <c r="A623" s="108"/>
      <c r="B623" s="108"/>
      <c r="C623" s="108"/>
      <c r="D623" s="108"/>
      <c r="E623" s="108"/>
      <c r="F623" s="108"/>
      <c r="G623" s="108"/>
      <c r="H623" s="108"/>
    </row>
    <row r="624" spans="1:8" ht="15.75" customHeight="1">
      <c r="A624" s="108"/>
      <c r="B624" s="108"/>
      <c r="C624" s="108"/>
      <c r="D624" s="108"/>
      <c r="E624" s="108"/>
      <c r="F624" s="108"/>
      <c r="G624" s="108"/>
      <c r="H624" s="108"/>
    </row>
    <row r="625" spans="1:8" ht="15.75" customHeight="1">
      <c r="A625" s="108"/>
      <c r="B625" s="108"/>
      <c r="C625" s="108"/>
      <c r="D625" s="108"/>
      <c r="E625" s="108"/>
      <c r="F625" s="108"/>
      <c r="G625" s="108"/>
      <c r="H625" s="108"/>
    </row>
    <row r="626" spans="1:8" ht="15.75" customHeight="1">
      <c r="A626" s="108"/>
      <c r="B626" s="108"/>
      <c r="C626" s="108"/>
      <c r="D626" s="108"/>
      <c r="E626" s="108"/>
      <c r="F626" s="108"/>
      <c r="G626" s="108"/>
      <c r="H626" s="108"/>
    </row>
    <row r="627" spans="1:8" ht="15.75" customHeight="1">
      <c r="A627" s="108"/>
      <c r="B627" s="108"/>
      <c r="C627" s="108"/>
      <c r="D627" s="108"/>
      <c r="E627" s="108"/>
      <c r="F627" s="108"/>
      <c r="G627" s="108"/>
      <c r="H627" s="108"/>
    </row>
    <row r="628" spans="1:8" ht="15.75" customHeight="1">
      <c r="A628" s="108"/>
      <c r="B628" s="108"/>
      <c r="C628" s="108"/>
      <c r="D628" s="108"/>
      <c r="E628" s="108"/>
      <c r="F628" s="108"/>
      <c r="G628" s="108"/>
      <c r="H628" s="108"/>
    </row>
    <row r="629" spans="1:8" ht="15.75" customHeight="1">
      <c r="A629" s="108"/>
      <c r="B629" s="108"/>
      <c r="C629" s="108"/>
      <c r="D629" s="108"/>
      <c r="E629" s="108"/>
      <c r="F629" s="108"/>
      <c r="G629" s="108"/>
      <c r="H629" s="108"/>
    </row>
    <row r="630" spans="1:8" ht="15.75" customHeight="1">
      <c r="A630" s="108"/>
      <c r="B630" s="108"/>
      <c r="C630" s="108"/>
      <c r="D630" s="108"/>
      <c r="E630" s="108"/>
      <c r="F630" s="108"/>
      <c r="G630" s="108"/>
      <c r="H630" s="108"/>
    </row>
    <row r="631" spans="1:8" ht="15.75" customHeight="1">
      <c r="A631" s="108"/>
      <c r="B631" s="108"/>
      <c r="C631" s="108"/>
      <c r="D631" s="108"/>
      <c r="E631" s="108"/>
      <c r="F631" s="108"/>
      <c r="G631" s="108"/>
      <c r="H631" s="108"/>
    </row>
    <row r="632" spans="1:8" ht="15.75" customHeight="1">
      <c r="A632" s="108"/>
      <c r="B632" s="108"/>
      <c r="C632" s="108"/>
      <c r="D632" s="108"/>
      <c r="E632" s="108"/>
      <c r="F632" s="108"/>
      <c r="G632" s="108"/>
      <c r="H632" s="108"/>
    </row>
    <row r="633" spans="1:8" ht="15.75" customHeight="1">
      <c r="A633" s="108"/>
      <c r="B633" s="108"/>
      <c r="C633" s="108"/>
      <c r="D633" s="108"/>
      <c r="E633" s="108"/>
      <c r="F633" s="108"/>
      <c r="G633" s="108"/>
      <c r="H633" s="108"/>
    </row>
    <row r="634" spans="1:8" ht="15.75" customHeight="1">
      <c r="A634" s="108"/>
      <c r="B634" s="108"/>
      <c r="C634" s="108"/>
      <c r="D634" s="108"/>
      <c r="E634" s="108"/>
      <c r="F634" s="108"/>
      <c r="G634" s="108"/>
      <c r="H634" s="108"/>
    </row>
    <row r="635" spans="1:8" ht="15.75" customHeight="1">
      <c r="A635" s="108"/>
      <c r="B635" s="108"/>
      <c r="C635" s="108"/>
      <c r="D635" s="108"/>
      <c r="E635" s="108"/>
      <c r="F635" s="108"/>
      <c r="G635" s="108"/>
      <c r="H635" s="108"/>
    </row>
    <row r="636" spans="1:8" ht="15.75" customHeight="1">
      <c r="A636" s="108"/>
      <c r="B636" s="108"/>
      <c r="C636" s="108"/>
      <c r="D636" s="108"/>
      <c r="E636" s="108"/>
      <c r="F636" s="108"/>
      <c r="G636" s="108"/>
      <c r="H636" s="108"/>
    </row>
    <row r="637" spans="1:8" ht="15.75" customHeight="1">
      <c r="A637" s="108"/>
      <c r="B637" s="108"/>
      <c r="C637" s="108"/>
      <c r="D637" s="108"/>
      <c r="E637" s="108"/>
      <c r="F637" s="108"/>
      <c r="G637" s="108"/>
      <c r="H637" s="108"/>
    </row>
    <row r="638" spans="1:8" ht="15.75" customHeight="1">
      <c r="A638" s="108"/>
      <c r="B638" s="108"/>
      <c r="C638" s="108"/>
      <c r="D638" s="108"/>
      <c r="E638" s="108"/>
      <c r="F638" s="108"/>
      <c r="G638" s="108"/>
      <c r="H638" s="108"/>
    </row>
    <row r="639" spans="1:8" ht="15.75" customHeight="1">
      <c r="A639" s="108"/>
      <c r="B639" s="108"/>
      <c r="C639" s="108"/>
      <c r="D639" s="108"/>
      <c r="E639" s="108"/>
      <c r="F639" s="108"/>
      <c r="G639" s="108"/>
      <c r="H639" s="108"/>
    </row>
    <row r="640" spans="1:8" ht="15.75" customHeight="1">
      <c r="A640" s="108"/>
      <c r="B640" s="108"/>
      <c r="C640" s="108"/>
      <c r="D640" s="108"/>
      <c r="E640" s="108"/>
      <c r="F640" s="108"/>
      <c r="G640" s="108"/>
      <c r="H640" s="108"/>
    </row>
    <row r="641" spans="1:8" ht="15.75" customHeight="1">
      <c r="A641" s="108"/>
      <c r="B641" s="108"/>
      <c r="C641" s="108"/>
      <c r="D641" s="108"/>
      <c r="E641" s="108"/>
      <c r="F641" s="108"/>
      <c r="G641" s="108"/>
      <c r="H641" s="108"/>
    </row>
    <row r="642" spans="1:8" ht="15.75" customHeight="1">
      <c r="A642" s="108"/>
      <c r="B642" s="108"/>
      <c r="C642" s="108"/>
      <c r="D642" s="108"/>
      <c r="E642" s="108"/>
      <c r="F642" s="108"/>
      <c r="G642" s="108"/>
      <c r="H642" s="108"/>
    </row>
    <row r="643" spans="1:8" ht="15.75" customHeight="1">
      <c r="A643" s="108"/>
      <c r="B643" s="108"/>
      <c r="C643" s="108"/>
      <c r="D643" s="108"/>
      <c r="E643" s="108"/>
      <c r="F643" s="108"/>
      <c r="G643" s="108"/>
      <c r="H643" s="108"/>
    </row>
    <row r="644" spans="1:8" ht="15.75" customHeight="1">
      <c r="A644" s="108"/>
      <c r="B644" s="108"/>
      <c r="C644" s="108"/>
      <c r="D644" s="108"/>
      <c r="E644" s="108"/>
      <c r="F644" s="108"/>
      <c r="G644" s="108"/>
      <c r="H644" s="108"/>
    </row>
    <row r="645" spans="1:8" ht="15.75" customHeight="1">
      <c r="A645" s="108"/>
      <c r="B645" s="108"/>
      <c r="C645" s="108"/>
      <c r="D645" s="108"/>
      <c r="E645" s="108"/>
      <c r="F645" s="108"/>
      <c r="G645" s="108"/>
      <c r="H645" s="108"/>
    </row>
    <row r="646" spans="1:8" ht="15.75" customHeight="1">
      <c r="A646" s="108"/>
      <c r="B646" s="108"/>
      <c r="C646" s="108"/>
      <c r="D646" s="108"/>
      <c r="E646" s="108"/>
      <c r="F646" s="108"/>
      <c r="G646" s="108"/>
      <c r="H646" s="108"/>
    </row>
    <row r="647" spans="1:8" ht="15.75" customHeight="1">
      <c r="A647" s="108"/>
      <c r="B647" s="108"/>
      <c r="C647" s="108"/>
      <c r="D647" s="108"/>
      <c r="E647" s="108"/>
      <c r="F647" s="108"/>
      <c r="G647" s="108"/>
      <c r="H647" s="108"/>
    </row>
    <row r="648" spans="1:8" ht="15.75" customHeight="1">
      <c r="A648" s="108"/>
      <c r="B648" s="108"/>
      <c r="C648" s="108"/>
      <c r="D648" s="108"/>
      <c r="E648" s="108"/>
      <c r="F648" s="108"/>
      <c r="G648" s="108"/>
      <c r="H648" s="108"/>
    </row>
    <row r="649" spans="1:8" ht="15.75" customHeight="1">
      <c r="A649" s="108"/>
      <c r="B649" s="108"/>
      <c r="C649" s="108"/>
      <c r="D649" s="108"/>
      <c r="E649" s="108"/>
      <c r="F649" s="108"/>
      <c r="G649" s="108"/>
      <c r="H649" s="108"/>
    </row>
    <row r="650" spans="1:8" ht="15.75" customHeight="1">
      <c r="A650" s="108"/>
      <c r="B650" s="108"/>
      <c r="C650" s="108"/>
      <c r="D650" s="108"/>
      <c r="E650" s="108"/>
      <c r="F650" s="108"/>
      <c r="G650" s="108"/>
      <c r="H650" s="108"/>
    </row>
    <row r="651" spans="1:8" ht="15.75" customHeight="1">
      <c r="A651" s="108"/>
      <c r="B651" s="108"/>
      <c r="C651" s="108"/>
      <c r="D651" s="108"/>
      <c r="E651" s="108"/>
      <c r="F651" s="108"/>
      <c r="G651" s="108"/>
      <c r="H651" s="108"/>
    </row>
    <row r="652" spans="1:8" ht="15.75" customHeight="1">
      <c r="A652" s="108"/>
      <c r="B652" s="108"/>
      <c r="C652" s="108"/>
      <c r="D652" s="108"/>
      <c r="E652" s="108"/>
      <c r="F652" s="108"/>
      <c r="G652" s="108"/>
      <c r="H652" s="108"/>
    </row>
    <row r="653" spans="1:8" ht="15.75" customHeight="1">
      <c r="A653" s="108"/>
      <c r="B653" s="108"/>
      <c r="C653" s="108"/>
      <c r="D653" s="108"/>
      <c r="E653" s="108"/>
      <c r="F653" s="108"/>
      <c r="G653" s="108"/>
      <c r="H653" s="108"/>
    </row>
    <row r="654" spans="1:8" ht="15.75" customHeight="1">
      <c r="A654" s="108"/>
      <c r="B654" s="108"/>
      <c r="C654" s="108"/>
      <c r="D654" s="108"/>
      <c r="E654" s="108"/>
      <c r="F654" s="108"/>
      <c r="G654" s="108"/>
      <c r="H654" s="108"/>
    </row>
    <row r="655" spans="1:8" ht="15.75" customHeight="1">
      <c r="A655" s="108"/>
      <c r="B655" s="108"/>
      <c r="C655" s="108"/>
      <c r="D655" s="108"/>
      <c r="E655" s="108"/>
      <c r="F655" s="108"/>
      <c r="G655" s="108"/>
      <c r="H655" s="108"/>
    </row>
    <row r="656" spans="1:8" ht="15.75" customHeight="1">
      <c r="A656" s="108"/>
      <c r="B656" s="108"/>
      <c r="C656" s="108"/>
      <c r="D656" s="108"/>
      <c r="E656" s="108"/>
      <c r="F656" s="108"/>
      <c r="G656" s="108"/>
      <c r="H656" s="108"/>
    </row>
    <row r="657" spans="1:8" ht="15.75" customHeight="1">
      <c r="A657" s="108"/>
      <c r="B657" s="108"/>
      <c r="C657" s="108"/>
      <c r="D657" s="108"/>
      <c r="E657" s="108"/>
      <c r="F657" s="108"/>
      <c r="G657" s="108"/>
      <c r="H657" s="108"/>
    </row>
    <row r="658" spans="1:8" ht="15.75" customHeight="1">
      <c r="A658" s="108"/>
      <c r="B658" s="108"/>
      <c r="C658" s="108"/>
      <c r="D658" s="108"/>
      <c r="E658" s="108"/>
      <c r="F658" s="108"/>
      <c r="G658" s="108"/>
      <c r="H658" s="108"/>
    </row>
    <row r="659" spans="1:8" ht="15.75" customHeight="1">
      <c r="A659" s="108"/>
      <c r="B659" s="108"/>
      <c r="C659" s="108"/>
      <c r="D659" s="108"/>
      <c r="E659" s="108"/>
      <c r="F659" s="108"/>
      <c r="G659" s="108"/>
      <c r="H659" s="108"/>
    </row>
    <row r="660" spans="1:8" ht="15.75" customHeight="1">
      <c r="A660" s="108"/>
      <c r="B660" s="108"/>
      <c r="C660" s="108"/>
      <c r="D660" s="108"/>
      <c r="E660" s="108"/>
      <c r="F660" s="108"/>
      <c r="G660" s="108"/>
      <c r="H660" s="108"/>
    </row>
    <row r="661" spans="1:8" ht="15.75" customHeight="1">
      <c r="A661" s="108"/>
      <c r="B661" s="108"/>
      <c r="C661" s="108"/>
      <c r="D661" s="108"/>
      <c r="E661" s="108"/>
      <c r="F661" s="108"/>
      <c r="G661" s="108"/>
      <c r="H661" s="108"/>
    </row>
    <row r="662" spans="1:8" ht="15.75" customHeight="1">
      <c r="A662" s="108"/>
      <c r="B662" s="108"/>
      <c r="C662" s="108"/>
      <c r="D662" s="108"/>
      <c r="E662" s="108"/>
      <c r="F662" s="108"/>
      <c r="G662" s="108"/>
      <c r="H662" s="108"/>
    </row>
    <row r="663" spans="1:8" ht="15.75" customHeight="1">
      <c r="A663" s="108"/>
      <c r="B663" s="108"/>
      <c r="C663" s="108"/>
      <c r="D663" s="108"/>
      <c r="E663" s="108"/>
      <c r="F663" s="108"/>
      <c r="G663" s="108"/>
      <c r="H663" s="108"/>
    </row>
    <row r="664" spans="1:8" ht="15.75" customHeight="1">
      <c r="A664" s="108"/>
      <c r="B664" s="108"/>
      <c r="C664" s="108"/>
      <c r="D664" s="108"/>
      <c r="E664" s="108"/>
      <c r="F664" s="108"/>
      <c r="G664" s="108"/>
      <c r="H664" s="108"/>
    </row>
    <row r="665" spans="1:8" ht="15.75" customHeight="1">
      <c r="A665" s="108"/>
      <c r="B665" s="108"/>
      <c r="C665" s="108"/>
      <c r="D665" s="108"/>
      <c r="E665" s="108"/>
      <c r="F665" s="108"/>
      <c r="G665" s="108"/>
      <c r="H665" s="108"/>
    </row>
    <row r="666" spans="1:8" ht="15.75" customHeight="1">
      <c r="A666" s="108"/>
      <c r="B666" s="108"/>
      <c r="C666" s="108"/>
      <c r="D666" s="108"/>
      <c r="E666" s="108"/>
      <c r="F666" s="108"/>
      <c r="G666" s="108"/>
      <c r="H666" s="108"/>
    </row>
    <row r="667" spans="1:8" ht="15.75" customHeight="1">
      <c r="A667" s="108"/>
      <c r="B667" s="108"/>
      <c r="C667" s="108"/>
      <c r="D667" s="108"/>
      <c r="E667" s="108"/>
      <c r="F667" s="108"/>
      <c r="G667" s="108"/>
      <c r="H667" s="108"/>
    </row>
    <row r="668" spans="1:8" ht="15.75" customHeight="1">
      <c r="A668" s="108"/>
      <c r="B668" s="108"/>
      <c r="C668" s="108"/>
      <c r="D668" s="108"/>
      <c r="E668" s="108"/>
      <c r="F668" s="108"/>
      <c r="G668" s="108"/>
      <c r="H668" s="108"/>
    </row>
    <row r="669" spans="1:8" ht="15.75" customHeight="1">
      <c r="A669" s="108"/>
      <c r="B669" s="108"/>
      <c r="C669" s="108"/>
      <c r="D669" s="108"/>
      <c r="E669" s="108"/>
      <c r="F669" s="108"/>
      <c r="G669" s="108"/>
      <c r="H669" s="108"/>
    </row>
    <row r="670" spans="1:8" ht="15.75" customHeight="1">
      <c r="A670" s="108"/>
      <c r="B670" s="108"/>
      <c r="C670" s="108"/>
      <c r="D670" s="108"/>
      <c r="E670" s="108"/>
      <c r="F670" s="108"/>
      <c r="G670" s="108"/>
      <c r="H670" s="108"/>
    </row>
    <row r="671" spans="1:8" ht="15.75" customHeight="1">
      <c r="A671" s="108"/>
      <c r="B671" s="108"/>
      <c r="C671" s="108"/>
      <c r="D671" s="108"/>
      <c r="E671" s="108"/>
      <c r="F671" s="108"/>
      <c r="G671" s="108"/>
      <c r="H671" s="108"/>
    </row>
    <row r="672" spans="1:8" ht="15.75" customHeight="1">
      <c r="A672" s="108"/>
      <c r="B672" s="108"/>
      <c r="C672" s="108"/>
      <c r="D672" s="108"/>
      <c r="E672" s="108"/>
      <c r="F672" s="108"/>
      <c r="G672" s="108"/>
      <c r="H672" s="108"/>
    </row>
    <row r="673" spans="1:8" ht="15.75" customHeight="1">
      <c r="A673" s="108"/>
      <c r="B673" s="108"/>
      <c r="C673" s="108"/>
      <c r="D673" s="108"/>
      <c r="E673" s="108"/>
      <c r="F673" s="108"/>
      <c r="G673" s="108"/>
      <c r="H673" s="108"/>
    </row>
    <row r="674" spans="1:8" ht="15.75" customHeight="1">
      <c r="A674" s="108"/>
      <c r="B674" s="108"/>
      <c r="C674" s="108"/>
      <c r="D674" s="108"/>
      <c r="E674" s="108"/>
      <c r="F674" s="108"/>
      <c r="G674" s="108"/>
      <c r="H674" s="108"/>
    </row>
    <row r="675" spans="1:8" ht="15.75" customHeight="1">
      <c r="A675" s="108"/>
      <c r="B675" s="108"/>
      <c r="C675" s="108"/>
      <c r="D675" s="108"/>
      <c r="E675" s="108"/>
      <c r="F675" s="108"/>
      <c r="G675" s="108"/>
      <c r="H675" s="108"/>
    </row>
    <row r="676" spans="1:8" ht="15.75" customHeight="1">
      <c r="A676" s="108"/>
      <c r="B676" s="108"/>
      <c r="C676" s="108"/>
      <c r="D676" s="108"/>
      <c r="E676" s="108"/>
      <c r="F676" s="108"/>
      <c r="G676" s="108"/>
      <c r="H676" s="108"/>
    </row>
    <row r="677" spans="1:8" ht="15.75" customHeight="1">
      <c r="A677" s="108"/>
      <c r="B677" s="108"/>
      <c r="C677" s="108"/>
      <c r="D677" s="108"/>
      <c r="E677" s="108"/>
      <c r="F677" s="108"/>
      <c r="G677" s="108"/>
      <c r="H677" s="108"/>
    </row>
    <row r="678" spans="1:8" ht="15.75" customHeight="1">
      <c r="A678" s="108"/>
      <c r="B678" s="108"/>
      <c r="C678" s="108"/>
      <c r="D678" s="108"/>
      <c r="E678" s="108"/>
      <c r="F678" s="108"/>
      <c r="G678" s="108"/>
      <c r="H678" s="108"/>
    </row>
    <row r="679" spans="1:8" ht="15.75" customHeight="1">
      <c r="A679" s="108"/>
      <c r="B679" s="108"/>
      <c r="C679" s="108"/>
      <c r="D679" s="108"/>
      <c r="E679" s="108"/>
      <c r="F679" s="108"/>
      <c r="G679" s="108"/>
      <c r="H679" s="108"/>
    </row>
    <row r="680" spans="1:8" ht="15.75" customHeight="1">
      <c r="A680" s="108"/>
      <c r="B680" s="108"/>
      <c r="C680" s="108"/>
      <c r="D680" s="108"/>
      <c r="E680" s="108"/>
      <c r="F680" s="108"/>
      <c r="G680" s="108"/>
      <c r="H680" s="108"/>
    </row>
    <row r="681" spans="1:8" ht="15.75" customHeight="1">
      <c r="A681" s="108"/>
      <c r="B681" s="108"/>
      <c r="C681" s="108"/>
      <c r="D681" s="108"/>
      <c r="E681" s="108"/>
      <c r="F681" s="108"/>
      <c r="G681" s="108"/>
      <c r="H681" s="108"/>
    </row>
    <row r="682" spans="1:8" ht="15.75" customHeight="1">
      <c r="A682" s="108"/>
      <c r="B682" s="108"/>
      <c r="C682" s="108"/>
      <c r="D682" s="108"/>
      <c r="E682" s="108"/>
      <c r="F682" s="108"/>
      <c r="G682" s="108"/>
      <c r="H682" s="108"/>
    </row>
    <row r="683" spans="1:8" ht="15.75" customHeight="1">
      <c r="A683" s="108"/>
      <c r="B683" s="108"/>
      <c r="C683" s="108"/>
      <c r="D683" s="108"/>
      <c r="E683" s="108"/>
      <c r="F683" s="108"/>
      <c r="G683" s="108"/>
      <c r="H683" s="108"/>
    </row>
    <row r="684" spans="1:8" ht="15.75" customHeight="1">
      <c r="A684" s="108"/>
      <c r="B684" s="108"/>
      <c r="C684" s="108"/>
      <c r="D684" s="108"/>
      <c r="E684" s="108"/>
      <c r="F684" s="108"/>
      <c r="G684" s="108"/>
      <c r="H684" s="108"/>
    </row>
    <row r="685" spans="1:8" ht="15.75" customHeight="1">
      <c r="A685" s="108"/>
      <c r="B685" s="108"/>
      <c r="C685" s="108"/>
      <c r="D685" s="108"/>
      <c r="E685" s="108"/>
      <c r="F685" s="108"/>
      <c r="G685" s="108"/>
      <c r="H685" s="108"/>
    </row>
    <row r="686" spans="1:8" ht="15.75" customHeight="1">
      <c r="A686" s="108"/>
      <c r="B686" s="108"/>
      <c r="C686" s="108"/>
      <c r="D686" s="108"/>
      <c r="E686" s="108"/>
      <c r="F686" s="108"/>
      <c r="G686" s="108"/>
      <c r="H686" s="108"/>
    </row>
    <row r="687" spans="1:8" ht="15.75" customHeight="1">
      <c r="A687" s="108"/>
      <c r="B687" s="108"/>
      <c r="C687" s="108"/>
      <c r="D687" s="108"/>
      <c r="E687" s="108"/>
      <c r="F687" s="108"/>
      <c r="G687" s="108"/>
      <c r="H687" s="108"/>
    </row>
    <row r="688" spans="1:8" ht="15.75" customHeight="1">
      <c r="A688" s="108"/>
      <c r="B688" s="108"/>
      <c r="C688" s="108"/>
      <c r="D688" s="108"/>
      <c r="E688" s="108"/>
      <c r="F688" s="108"/>
      <c r="G688" s="108"/>
      <c r="H688" s="108"/>
    </row>
    <row r="689" spans="1:8" ht="15.75" customHeight="1">
      <c r="A689" s="108"/>
      <c r="B689" s="108"/>
      <c r="C689" s="108"/>
      <c r="D689" s="108"/>
      <c r="E689" s="108"/>
      <c r="F689" s="108"/>
      <c r="G689" s="108"/>
      <c r="H689" s="108"/>
    </row>
    <row r="690" spans="1:8" ht="15.75" customHeight="1">
      <c r="A690" s="108"/>
      <c r="B690" s="108"/>
      <c r="C690" s="108"/>
      <c r="D690" s="108"/>
      <c r="E690" s="108"/>
      <c r="F690" s="108"/>
      <c r="G690" s="108"/>
      <c r="H690" s="108"/>
    </row>
    <row r="691" spans="1:8" ht="15.75" customHeight="1">
      <c r="A691" s="108"/>
      <c r="B691" s="108"/>
      <c r="C691" s="108"/>
      <c r="D691" s="108"/>
      <c r="E691" s="108"/>
      <c r="F691" s="108"/>
      <c r="G691" s="108"/>
      <c r="H691" s="108"/>
    </row>
    <row r="692" spans="1:8" ht="15.75" customHeight="1">
      <c r="A692" s="108"/>
      <c r="B692" s="108"/>
      <c r="C692" s="108"/>
      <c r="D692" s="108"/>
      <c r="E692" s="108"/>
      <c r="F692" s="108"/>
      <c r="G692" s="108"/>
      <c r="H692" s="108"/>
    </row>
    <row r="693" spans="1:8" ht="15.75" customHeight="1">
      <c r="A693" s="108"/>
      <c r="B693" s="108"/>
      <c r="C693" s="108"/>
      <c r="D693" s="108"/>
      <c r="E693" s="108"/>
      <c r="F693" s="108"/>
      <c r="G693" s="108"/>
      <c r="H693" s="108"/>
    </row>
    <row r="694" spans="1:8" ht="15.75" customHeight="1">
      <c r="A694" s="108"/>
      <c r="B694" s="108"/>
      <c r="C694" s="108"/>
      <c r="D694" s="108"/>
      <c r="E694" s="108"/>
      <c r="F694" s="108"/>
      <c r="G694" s="108"/>
      <c r="H694" s="108"/>
    </row>
    <row r="695" spans="1:8" ht="15.75" customHeight="1">
      <c r="A695" s="108"/>
      <c r="B695" s="108"/>
      <c r="C695" s="108"/>
      <c r="D695" s="108"/>
      <c r="E695" s="108"/>
      <c r="F695" s="108"/>
      <c r="G695" s="108"/>
      <c r="H695" s="108"/>
    </row>
    <row r="696" spans="1:8" ht="15.75" customHeight="1">
      <c r="A696" s="108"/>
      <c r="B696" s="108"/>
      <c r="C696" s="108"/>
      <c r="D696" s="108"/>
      <c r="E696" s="108"/>
      <c r="F696" s="108"/>
      <c r="G696" s="108"/>
      <c r="H696" s="108"/>
    </row>
    <row r="697" spans="1:8" ht="15.75" customHeight="1">
      <c r="A697" s="108"/>
      <c r="B697" s="108"/>
      <c r="C697" s="108"/>
      <c r="D697" s="108"/>
      <c r="E697" s="108"/>
      <c r="F697" s="108"/>
      <c r="G697" s="108"/>
      <c r="H697" s="108"/>
    </row>
    <row r="698" spans="1:8" ht="15.75" customHeight="1">
      <c r="A698" s="108"/>
      <c r="B698" s="108"/>
      <c r="C698" s="108"/>
      <c r="D698" s="108"/>
      <c r="E698" s="108"/>
      <c r="F698" s="108"/>
      <c r="G698" s="108"/>
      <c r="H698" s="108"/>
    </row>
    <row r="699" spans="1:8" ht="15.75" customHeight="1">
      <c r="A699" s="108"/>
      <c r="B699" s="108"/>
      <c r="C699" s="108"/>
      <c r="D699" s="108"/>
      <c r="E699" s="108"/>
      <c r="F699" s="108"/>
      <c r="G699" s="108"/>
      <c r="H699" s="108"/>
    </row>
    <row r="700" spans="1:8" ht="15.75" customHeight="1">
      <c r="A700" s="108"/>
      <c r="B700" s="108"/>
      <c r="C700" s="108"/>
      <c r="D700" s="108"/>
      <c r="E700" s="108"/>
      <c r="F700" s="108"/>
      <c r="G700" s="108"/>
      <c r="H700" s="108"/>
    </row>
    <row r="701" spans="1:8" ht="15.75" customHeight="1">
      <c r="A701" s="108"/>
      <c r="B701" s="108"/>
      <c r="C701" s="108"/>
      <c r="D701" s="108"/>
      <c r="E701" s="108"/>
      <c r="F701" s="108"/>
      <c r="G701" s="108"/>
      <c r="H701" s="108"/>
    </row>
    <row r="702" spans="1:8" ht="15.75" customHeight="1">
      <c r="A702" s="108"/>
      <c r="B702" s="108"/>
      <c r="C702" s="108"/>
      <c r="D702" s="108"/>
      <c r="E702" s="108"/>
      <c r="F702" s="108"/>
      <c r="G702" s="108"/>
      <c r="H702" s="108"/>
    </row>
    <row r="703" spans="1:8" ht="15.75" customHeight="1">
      <c r="A703" s="108"/>
      <c r="B703" s="108"/>
      <c r="C703" s="108"/>
      <c r="D703" s="108"/>
      <c r="E703" s="108"/>
      <c r="F703" s="108"/>
      <c r="G703" s="108"/>
      <c r="H703" s="108"/>
    </row>
    <row r="704" spans="1:8" ht="15.75" customHeight="1">
      <c r="A704" s="108"/>
      <c r="B704" s="108"/>
      <c r="C704" s="108"/>
      <c r="D704" s="108"/>
      <c r="E704" s="108"/>
      <c r="F704" s="108"/>
      <c r="G704" s="108"/>
      <c r="H704" s="108"/>
    </row>
    <row r="705" spans="1:8" ht="15.75" customHeight="1">
      <c r="A705" s="108"/>
      <c r="B705" s="108"/>
      <c r="C705" s="108"/>
      <c r="D705" s="108"/>
      <c r="E705" s="108"/>
      <c r="F705" s="108"/>
      <c r="G705" s="108"/>
      <c r="H705" s="108"/>
    </row>
    <row r="706" spans="1:8" ht="15.75" customHeight="1">
      <c r="A706" s="108"/>
      <c r="B706" s="108"/>
      <c r="C706" s="108"/>
      <c r="D706" s="108"/>
      <c r="E706" s="108"/>
      <c r="F706" s="108"/>
      <c r="G706" s="108"/>
      <c r="H706" s="108"/>
    </row>
    <row r="707" spans="1:8" ht="15.75" customHeight="1">
      <c r="A707" s="108"/>
      <c r="B707" s="108"/>
      <c r="C707" s="108"/>
      <c r="D707" s="108"/>
      <c r="E707" s="108"/>
      <c r="F707" s="108"/>
      <c r="G707" s="108"/>
      <c r="H707" s="108"/>
    </row>
    <row r="708" spans="1:8" ht="15.75" customHeight="1">
      <c r="A708" s="108"/>
      <c r="B708" s="108"/>
      <c r="C708" s="108"/>
      <c r="D708" s="108"/>
      <c r="E708" s="108"/>
      <c r="F708" s="108"/>
      <c r="G708" s="108"/>
      <c r="H708" s="108"/>
    </row>
    <row r="709" spans="1:8" ht="15.75" customHeight="1">
      <c r="A709" s="108"/>
      <c r="B709" s="108"/>
      <c r="C709" s="108"/>
      <c r="D709" s="108"/>
      <c r="E709" s="108"/>
      <c r="F709" s="108"/>
      <c r="G709" s="108"/>
      <c r="H709" s="108"/>
    </row>
    <row r="710" spans="1:8" ht="15.75" customHeight="1">
      <c r="A710" s="108"/>
      <c r="B710" s="108"/>
      <c r="C710" s="108"/>
      <c r="D710" s="108"/>
      <c r="E710" s="108"/>
      <c r="F710" s="108"/>
      <c r="G710" s="108"/>
      <c r="H710" s="108"/>
    </row>
    <row r="711" spans="1:8" ht="15.75" customHeight="1">
      <c r="A711" s="108"/>
      <c r="B711" s="108"/>
      <c r="C711" s="108"/>
      <c r="D711" s="108"/>
      <c r="E711" s="108"/>
      <c r="F711" s="108"/>
      <c r="G711" s="108"/>
      <c r="H711" s="108"/>
    </row>
    <row r="712" spans="1:8" ht="15.75" customHeight="1">
      <c r="A712" s="108"/>
      <c r="B712" s="108"/>
      <c r="C712" s="108"/>
      <c r="D712" s="108"/>
      <c r="E712" s="108"/>
      <c r="F712" s="108"/>
      <c r="G712" s="108"/>
      <c r="H712" s="108"/>
    </row>
    <row r="713" spans="1:8" ht="15.75" customHeight="1">
      <c r="A713" s="108"/>
      <c r="B713" s="108"/>
      <c r="C713" s="108"/>
      <c r="D713" s="108"/>
      <c r="E713" s="108"/>
      <c r="F713" s="108"/>
      <c r="G713" s="108"/>
      <c r="H713" s="108"/>
    </row>
    <row r="714" spans="1:8" ht="15.75" customHeight="1">
      <c r="A714" s="108"/>
      <c r="B714" s="108"/>
      <c r="C714" s="108"/>
      <c r="D714" s="108"/>
      <c r="E714" s="108"/>
      <c r="F714" s="108"/>
      <c r="G714" s="108"/>
      <c r="H714" s="108"/>
    </row>
    <row r="715" spans="1:8" ht="15.75" customHeight="1">
      <c r="A715" s="108"/>
      <c r="B715" s="108"/>
      <c r="C715" s="108"/>
      <c r="D715" s="108"/>
      <c r="E715" s="108"/>
      <c r="F715" s="108"/>
      <c r="G715" s="108"/>
      <c r="H715" s="108"/>
    </row>
    <row r="716" spans="1:8" ht="15.75" customHeight="1">
      <c r="A716" s="108"/>
      <c r="B716" s="108"/>
      <c r="C716" s="108"/>
      <c r="D716" s="108"/>
      <c r="E716" s="108"/>
      <c r="F716" s="108"/>
      <c r="G716" s="108"/>
      <c r="H716" s="108"/>
    </row>
    <row r="717" spans="1:8" ht="15.75" customHeight="1">
      <c r="A717" s="108"/>
      <c r="B717" s="108"/>
      <c r="C717" s="108"/>
      <c r="D717" s="108"/>
      <c r="E717" s="108"/>
      <c r="F717" s="108"/>
      <c r="G717" s="108"/>
      <c r="H717" s="108"/>
    </row>
    <row r="718" spans="1:8" ht="15.75" customHeight="1">
      <c r="A718" s="108"/>
      <c r="B718" s="108"/>
      <c r="C718" s="108"/>
      <c r="D718" s="108"/>
      <c r="E718" s="108"/>
      <c r="F718" s="108"/>
      <c r="G718" s="108"/>
      <c r="H718" s="108"/>
    </row>
    <row r="719" spans="1:8" ht="15.75" customHeight="1">
      <c r="A719" s="108"/>
      <c r="B719" s="108"/>
      <c r="C719" s="108"/>
      <c r="D719" s="108"/>
      <c r="E719" s="108"/>
      <c r="F719" s="108"/>
      <c r="G719" s="108"/>
      <c r="H719" s="108"/>
    </row>
    <row r="720" spans="1:8" ht="15.75" customHeight="1">
      <c r="A720" s="108"/>
      <c r="B720" s="108"/>
      <c r="C720" s="108"/>
      <c r="D720" s="108"/>
      <c r="E720" s="108"/>
      <c r="F720" s="108"/>
      <c r="G720" s="108"/>
      <c r="H720" s="108"/>
    </row>
    <row r="721" spans="1:8" ht="15.75" customHeight="1">
      <c r="A721" s="108"/>
      <c r="B721" s="108"/>
      <c r="C721" s="108"/>
      <c r="D721" s="108"/>
      <c r="E721" s="108"/>
      <c r="F721" s="108"/>
      <c r="G721" s="108"/>
      <c r="H721" s="108"/>
    </row>
    <row r="722" spans="1:8" ht="15.75" customHeight="1">
      <c r="A722" s="108"/>
      <c r="B722" s="108"/>
      <c r="C722" s="108"/>
      <c r="D722" s="108"/>
      <c r="E722" s="108"/>
      <c r="F722" s="108"/>
      <c r="G722" s="108"/>
      <c r="H722" s="108"/>
    </row>
    <row r="723" spans="1:8" ht="15.75" customHeight="1">
      <c r="A723" s="108"/>
      <c r="B723" s="108"/>
      <c r="C723" s="108"/>
      <c r="D723" s="108"/>
      <c r="E723" s="108"/>
      <c r="F723" s="108"/>
      <c r="G723" s="108"/>
      <c r="H723" s="108"/>
    </row>
    <row r="724" spans="1:8" ht="15.75" customHeight="1">
      <c r="A724" s="108"/>
      <c r="B724" s="108"/>
      <c r="C724" s="108"/>
      <c r="D724" s="108"/>
      <c r="E724" s="108"/>
      <c r="F724" s="108"/>
      <c r="G724" s="108"/>
      <c r="H724" s="108"/>
    </row>
    <row r="725" spans="1:8" ht="15.75" customHeight="1">
      <c r="A725" s="108"/>
      <c r="B725" s="108"/>
      <c r="C725" s="108"/>
      <c r="D725" s="108"/>
      <c r="E725" s="108"/>
      <c r="F725" s="108"/>
      <c r="G725" s="108"/>
      <c r="H725" s="108"/>
    </row>
    <row r="726" spans="1:8" ht="15.75" customHeight="1">
      <c r="A726" s="108"/>
      <c r="B726" s="108"/>
      <c r="C726" s="108"/>
      <c r="D726" s="108"/>
      <c r="E726" s="108"/>
      <c r="F726" s="108"/>
      <c r="G726" s="108"/>
      <c r="H726" s="108"/>
    </row>
    <row r="727" spans="1:8" ht="15.75" customHeight="1">
      <c r="A727" s="108"/>
      <c r="B727" s="108"/>
      <c r="C727" s="108"/>
      <c r="D727" s="108"/>
      <c r="E727" s="108"/>
      <c r="F727" s="108"/>
      <c r="G727" s="108"/>
      <c r="H727" s="108"/>
    </row>
    <row r="728" spans="1:8" ht="15.75" customHeight="1">
      <c r="A728" s="108"/>
      <c r="B728" s="108"/>
      <c r="C728" s="108"/>
      <c r="D728" s="108"/>
      <c r="E728" s="108"/>
      <c r="F728" s="108"/>
      <c r="G728" s="108"/>
      <c r="H728" s="108"/>
    </row>
    <row r="729" spans="1:8" ht="15.75" customHeight="1">
      <c r="A729" s="108"/>
      <c r="B729" s="108"/>
      <c r="C729" s="108"/>
      <c r="D729" s="108"/>
      <c r="E729" s="108"/>
      <c r="F729" s="108"/>
      <c r="G729" s="108"/>
      <c r="H729" s="108"/>
    </row>
    <row r="730" spans="1:8" ht="15.75" customHeight="1">
      <c r="A730" s="108"/>
      <c r="B730" s="108"/>
      <c r="C730" s="108"/>
      <c r="D730" s="108"/>
      <c r="E730" s="108"/>
      <c r="F730" s="108"/>
      <c r="G730" s="108"/>
      <c r="H730" s="108"/>
    </row>
    <row r="731" spans="1:8" ht="15.75" customHeight="1">
      <c r="A731" s="108"/>
      <c r="B731" s="108"/>
      <c r="C731" s="108"/>
      <c r="D731" s="108"/>
      <c r="E731" s="108"/>
      <c r="F731" s="108"/>
      <c r="G731" s="108"/>
      <c r="H731" s="108"/>
    </row>
    <row r="732" spans="1:8" ht="15.75" customHeight="1">
      <c r="A732" s="108"/>
      <c r="B732" s="108"/>
      <c r="C732" s="108"/>
      <c r="D732" s="108"/>
      <c r="E732" s="108"/>
      <c r="F732" s="108"/>
      <c r="G732" s="108"/>
      <c r="H732" s="108"/>
    </row>
    <row r="733" spans="1:8" ht="15.75" customHeight="1">
      <c r="A733" s="108"/>
      <c r="B733" s="108"/>
      <c r="C733" s="108"/>
      <c r="D733" s="108"/>
      <c r="E733" s="108"/>
      <c r="F733" s="108"/>
      <c r="G733" s="108"/>
      <c r="H733" s="108"/>
    </row>
    <row r="734" spans="1:8" ht="15.75" customHeight="1">
      <c r="A734" s="108"/>
      <c r="B734" s="108"/>
      <c r="C734" s="108"/>
      <c r="D734" s="108"/>
      <c r="E734" s="108"/>
      <c r="F734" s="108"/>
      <c r="G734" s="108"/>
      <c r="H734" s="108"/>
    </row>
    <row r="735" spans="1:8" ht="15.75" customHeight="1">
      <c r="A735" s="108"/>
      <c r="B735" s="108"/>
      <c r="C735" s="108"/>
      <c r="D735" s="108"/>
      <c r="E735" s="108"/>
      <c r="F735" s="108"/>
      <c r="G735" s="108"/>
      <c r="H735" s="108"/>
    </row>
    <row r="736" spans="1:8" ht="15.75" customHeight="1">
      <c r="A736" s="108"/>
      <c r="B736" s="108"/>
      <c r="C736" s="108"/>
      <c r="D736" s="108"/>
      <c r="E736" s="108"/>
      <c r="F736" s="108"/>
      <c r="G736" s="108"/>
      <c r="H736" s="108"/>
    </row>
    <row r="737" spans="1:8" ht="15.75" customHeight="1">
      <c r="A737" s="108"/>
      <c r="B737" s="108"/>
      <c r="C737" s="108"/>
      <c r="D737" s="108"/>
      <c r="E737" s="108"/>
      <c r="F737" s="108"/>
      <c r="G737" s="108"/>
      <c r="H737" s="108"/>
    </row>
    <row r="738" spans="1:8" ht="15.75" customHeight="1">
      <c r="A738" s="108"/>
      <c r="B738" s="108"/>
      <c r="C738" s="108"/>
      <c r="D738" s="108"/>
      <c r="E738" s="108"/>
      <c r="F738" s="108"/>
      <c r="G738" s="108"/>
      <c r="H738" s="108"/>
    </row>
    <row r="739" spans="1:8" ht="15.75" customHeight="1">
      <c r="A739" s="108"/>
      <c r="B739" s="108"/>
      <c r="C739" s="108"/>
      <c r="D739" s="108"/>
      <c r="E739" s="108"/>
      <c r="F739" s="108"/>
      <c r="G739" s="108"/>
      <c r="H739" s="108"/>
    </row>
    <row r="740" spans="1:8" ht="15.75" customHeight="1">
      <c r="A740" s="108"/>
      <c r="B740" s="108"/>
      <c r="C740" s="108"/>
      <c r="D740" s="108"/>
      <c r="E740" s="108"/>
      <c r="F740" s="108"/>
      <c r="G740" s="108"/>
      <c r="H740" s="108"/>
    </row>
    <row r="741" spans="1:8" ht="15.75" customHeight="1">
      <c r="A741" s="108"/>
      <c r="B741" s="108"/>
      <c r="C741" s="108"/>
      <c r="D741" s="108"/>
      <c r="E741" s="108"/>
      <c r="F741" s="108"/>
      <c r="G741" s="108"/>
      <c r="H741" s="108"/>
    </row>
    <row r="742" spans="1:8" ht="15.75" customHeight="1">
      <c r="A742" s="108"/>
      <c r="B742" s="108"/>
      <c r="C742" s="108"/>
      <c r="D742" s="108"/>
      <c r="E742" s="108"/>
      <c r="F742" s="108"/>
      <c r="G742" s="108"/>
      <c r="H742" s="108"/>
    </row>
    <row r="743" spans="1:8" ht="15.75" customHeight="1">
      <c r="A743" s="108"/>
      <c r="B743" s="108"/>
      <c r="C743" s="108"/>
      <c r="D743" s="108"/>
      <c r="E743" s="108"/>
      <c r="F743" s="108"/>
      <c r="G743" s="108"/>
      <c r="H743" s="108"/>
    </row>
    <row r="744" spans="1:8" ht="15.75" customHeight="1">
      <c r="A744" s="108"/>
      <c r="B744" s="108"/>
      <c r="C744" s="108"/>
      <c r="D744" s="108"/>
      <c r="E744" s="108"/>
      <c r="F744" s="108"/>
      <c r="G744" s="108"/>
      <c r="H744" s="108"/>
    </row>
    <row r="745" spans="1:8" ht="15.75" customHeight="1">
      <c r="A745" s="108"/>
      <c r="B745" s="108"/>
      <c r="C745" s="108"/>
      <c r="D745" s="108"/>
      <c r="E745" s="108"/>
      <c r="F745" s="108"/>
      <c r="G745" s="108"/>
      <c r="H745" s="108"/>
    </row>
    <row r="746" spans="1:8" ht="15.75" customHeight="1">
      <c r="A746" s="108"/>
      <c r="B746" s="108"/>
      <c r="C746" s="108"/>
      <c r="D746" s="108"/>
      <c r="E746" s="108"/>
      <c r="F746" s="108"/>
      <c r="G746" s="108"/>
      <c r="H746" s="108"/>
    </row>
    <row r="747" spans="1:8" ht="15.75" customHeight="1">
      <c r="A747" s="108"/>
      <c r="B747" s="108"/>
      <c r="C747" s="108"/>
      <c r="D747" s="108"/>
      <c r="E747" s="108"/>
      <c r="F747" s="108"/>
      <c r="G747" s="108"/>
      <c r="H747" s="108"/>
    </row>
    <row r="748" spans="1:8" ht="15.75" customHeight="1">
      <c r="A748" s="108"/>
      <c r="B748" s="108"/>
      <c r="C748" s="108"/>
      <c r="D748" s="108"/>
      <c r="E748" s="108"/>
      <c r="F748" s="108"/>
      <c r="G748" s="108"/>
      <c r="H748" s="108"/>
    </row>
    <row r="749" spans="1:8" ht="15.75" customHeight="1">
      <c r="A749" s="108"/>
      <c r="B749" s="108"/>
      <c r="C749" s="108"/>
      <c r="D749" s="108"/>
      <c r="E749" s="108"/>
      <c r="F749" s="108"/>
      <c r="G749" s="108"/>
      <c r="H749" s="108"/>
    </row>
    <row r="750" spans="1:8" ht="15.75" customHeight="1">
      <c r="A750" s="108"/>
      <c r="B750" s="108"/>
      <c r="C750" s="108"/>
      <c r="D750" s="108"/>
      <c r="E750" s="108"/>
      <c r="F750" s="108"/>
      <c r="G750" s="108"/>
      <c r="H750" s="108"/>
    </row>
    <row r="751" spans="1:8" ht="15.75" customHeight="1">
      <c r="A751" s="108"/>
      <c r="B751" s="108"/>
      <c r="C751" s="108"/>
      <c r="D751" s="108"/>
      <c r="E751" s="108"/>
      <c r="F751" s="108"/>
      <c r="G751" s="108"/>
      <c r="H751" s="108"/>
    </row>
    <row r="752" spans="1:8" ht="15.75" customHeight="1">
      <c r="A752" s="108"/>
      <c r="B752" s="108"/>
      <c r="C752" s="108"/>
      <c r="D752" s="108"/>
      <c r="E752" s="108"/>
      <c r="F752" s="108"/>
      <c r="G752" s="108"/>
      <c r="H752" s="108"/>
    </row>
    <row r="753" spans="1:8" ht="15.75" customHeight="1">
      <c r="A753" s="108"/>
      <c r="B753" s="108"/>
      <c r="C753" s="108"/>
      <c r="D753" s="108"/>
      <c r="E753" s="108"/>
      <c r="F753" s="108"/>
      <c r="G753" s="108"/>
      <c r="H753" s="108"/>
    </row>
    <row r="754" spans="1:8" ht="15.75" customHeight="1">
      <c r="A754" s="108"/>
      <c r="B754" s="108"/>
      <c r="C754" s="108"/>
      <c r="D754" s="108"/>
      <c r="E754" s="108"/>
      <c r="F754" s="108"/>
      <c r="G754" s="108"/>
      <c r="H754" s="108"/>
    </row>
    <row r="755" spans="1:8" ht="15.75" customHeight="1">
      <c r="A755" s="108"/>
      <c r="B755" s="108"/>
      <c r="C755" s="108"/>
      <c r="D755" s="108"/>
      <c r="E755" s="108"/>
      <c r="F755" s="108"/>
      <c r="G755" s="108"/>
      <c r="H755" s="108"/>
    </row>
    <row r="756" spans="1:8" ht="15.75" customHeight="1">
      <c r="A756" s="108"/>
      <c r="B756" s="108"/>
      <c r="C756" s="108"/>
      <c r="D756" s="108"/>
      <c r="E756" s="108"/>
      <c r="F756" s="108"/>
      <c r="G756" s="108"/>
      <c r="H756" s="108"/>
    </row>
    <row r="757" spans="1:8" ht="15.75" customHeight="1">
      <c r="A757" s="108"/>
      <c r="B757" s="108"/>
      <c r="C757" s="108"/>
      <c r="D757" s="108"/>
      <c r="E757" s="108"/>
      <c r="F757" s="108"/>
      <c r="G757" s="108"/>
      <c r="H757" s="108"/>
    </row>
    <row r="758" spans="1:8" ht="15.75" customHeight="1">
      <c r="A758" s="108"/>
      <c r="B758" s="108"/>
      <c r="C758" s="108"/>
      <c r="D758" s="108"/>
      <c r="E758" s="108"/>
      <c r="F758" s="108"/>
      <c r="G758" s="108"/>
      <c r="H758" s="108"/>
    </row>
    <row r="759" spans="1:8" ht="15.75" customHeight="1">
      <c r="A759" s="108"/>
      <c r="B759" s="108"/>
      <c r="C759" s="108"/>
      <c r="D759" s="108"/>
      <c r="E759" s="108"/>
      <c r="F759" s="108"/>
      <c r="G759" s="108"/>
      <c r="H759" s="108"/>
    </row>
    <row r="760" spans="1:8" ht="15.75" customHeight="1">
      <c r="A760" s="108"/>
      <c r="B760" s="108"/>
      <c r="C760" s="108"/>
      <c r="D760" s="108"/>
      <c r="E760" s="108"/>
      <c r="F760" s="108"/>
      <c r="G760" s="108"/>
      <c r="H760" s="108"/>
    </row>
    <row r="761" spans="1:8" ht="15.75" customHeight="1">
      <c r="A761" s="108"/>
      <c r="B761" s="108"/>
      <c r="C761" s="108"/>
      <c r="D761" s="108"/>
      <c r="E761" s="108"/>
      <c r="F761" s="108"/>
      <c r="G761" s="108"/>
      <c r="H761" s="108"/>
    </row>
    <row r="762" spans="1:8" ht="15.75" customHeight="1">
      <c r="A762" s="108"/>
      <c r="B762" s="108"/>
      <c r="C762" s="108"/>
      <c r="D762" s="108"/>
      <c r="E762" s="108"/>
      <c r="F762" s="108"/>
      <c r="G762" s="108"/>
      <c r="H762" s="108"/>
    </row>
    <row r="763" spans="1:8" ht="15.75" customHeight="1">
      <c r="A763" s="108"/>
      <c r="B763" s="108"/>
      <c r="C763" s="108"/>
      <c r="D763" s="108"/>
      <c r="E763" s="108"/>
      <c r="F763" s="108"/>
      <c r="G763" s="108"/>
      <c r="H763" s="108"/>
    </row>
    <row r="764" spans="1:8" ht="15.75" customHeight="1">
      <c r="A764" s="108"/>
      <c r="B764" s="108"/>
      <c r="C764" s="108"/>
      <c r="D764" s="108"/>
      <c r="E764" s="108"/>
      <c r="F764" s="108"/>
      <c r="G764" s="108"/>
      <c r="H764" s="108"/>
    </row>
    <row r="765" spans="1:8" ht="15.75" customHeight="1">
      <c r="A765" s="108"/>
      <c r="B765" s="108"/>
      <c r="C765" s="108"/>
      <c r="D765" s="108"/>
      <c r="E765" s="108"/>
      <c r="F765" s="108"/>
      <c r="G765" s="108"/>
      <c r="H765" s="108"/>
    </row>
    <row r="766" spans="1:8" ht="15.75" customHeight="1">
      <c r="A766" s="108"/>
      <c r="B766" s="108"/>
      <c r="C766" s="108"/>
      <c r="D766" s="108"/>
      <c r="E766" s="108"/>
      <c r="F766" s="108"/>
      <c r="G766" s="108"/>
      <c r="H766" s="108"/>
    </row>
    <row r="767" spans="1:8" ht="15.75" customHeight="1">
      <c r="A767" s="108"/>
      <c r="B767" s="108"/>
      <c r="C767" s="108"/>
      <c r="D767" s="108"/>
      <c r="E767" s="108"/>
      <c r="F767" s="108"/>
      <c r="G767" s="108"/>
      <c r="H767" s="108"/>
    </row>
    <row r="768" spans="1:8" ht="15.75" customHeight="1">
      <c r="A768" s="108"/>
      <c r="B768" s="108"/>
      <c r="C768" s="108"/>
      <c r="D768" s="108"/>
      <c r="E768" s="108"/>
      <c r="F768" s="108"/>
      <c r="G768" s="108"/>
      <c r="H768" s="108"/>
    </row>
    <row r="769" spans="1:8" ht="15.75" customHeight="1">
      <c r="A769" s="108"/>
      <c r="B769" s="108"/>
      <c r="C769" s="108"/>
      <c r="D769" s="108"/>
      <c r="E769" s="108"/>
      <c r="F769" s="108"/>
      <c r="G769" s="108"/>
      <c r="H769" s="108"/>
    </row>
    <row r="770" spans="1:8" ht="15.75" customHeight="1">
      <c r="A770" s="108"/>
      <c r="B770" s="108"/>
      <c r="C770" s="108"/>
      <c r="D770" s="108"/>
      <c r="E770" s="108"/>
      <c r="F770" s="108"/>
      <c r="G770" s="108"/>
      <c r="H770" s="108"/>
    </row>
    <row r="771" spans="1:8" ht="15.75" customHeight="1">
      <c r="A771" s="108"/>
      <c r="B771" s="108"/>
      <c r="C771" s="108"/>
      <c r="D771" s="108"/>
      <c r="E771" s="108"/>
      <c r="F771" s="108"/>
      <c r="G771" s="108"/>
      <c r="H771" s="108"/>
    </row>
    <row r="772" spans="1:8" ht="15.75" customHeight="1">
      <c r="A772" s="108"/>
      <c r="B772" s="108"/>
      <c r="C772" s="108"/>
      <c r="D772" s="108"/>
      <c r="E772" s="108"/>
      <c r="F772" s="108"/>
      <c r="G772" s="108"/>
      <c r="H772" s="108"/>
    </row>
    <row r="773" spans="1:8" ht="15.75" customHeight="1">
      <c r="A773" s="108"/>
      <c r="B773" s="108"/>
      <c r="C773" s="108"/>
      <c r="D773" s="108"/>
      <c r="E773" s="108"/>
      <c r="F773" s="108"/>
      <c r="G773" s="108"/>
      <c r="H773" s="108"/>
    </row>
    <row r="774" spans="1:8" ht="15.75" customHeight="1">
      <c r="A774" s="108"/>
      <c r="B774" s="108"/>
      <c r="C774" s="108"/>
      <c r="D774" s="108"/>
      <c r="E774" s="108"/>
      <c r="F774" s="108"/>
      <c r="G774" s="108"/>
      <c r="H774" s="108"/>
    </row>
    <row r="775" spans="1:8" ht="15.75" customHeight="1">
      <c r="A775" s="108"/>
      <c r="B775" s="108"/>
      <c r="C775" s="108"/>
      <c r="D775" s="108"/>
      <c r="E775" s="108"/>
      <c r="F775" s="108"/>
      <c r="G775" s="108"/>
      <c r="H775" s="108"/>
    </row>
    <row r="776" spans="1:8" ht="15.75" customHeight="1">
      <c r="A776" s="108"/>
      <c r="B776" s="108"/>
      <c r="C776" s="108"/>
      <c r="D776" s="108"/>
      <c r="E776" s="108"/>
      <c r="F776" s="108"/>
      <c r="G776" s="108"/>
      <c r="H776" s="108"/>
    </row>
    <row r="777" spans="1:8" ht="15.75" customHeight="1">
      <c r="A777" s="108"/>
      <c r="B777" s="108"/>
      <c r="C777" s="108"/>
      <c r="D777" s="108"/>
      <c r="E777" s="108"/>
      <c r="F777" s="108"/>
      <c r="G777" s="108"/>
      <c r="H777" s="108"/>
    </row>
    <row r="778" spans="1:8" ht="15.75" customHeight="1">
      <c r="A778" s="108"/>
      <c r="B778" s="108"/>
      <c r="C778" s="108"/>
      <c r="D778" s="108"/>
      <c r="E778" s="108"/>
      <c r="F778" s="108"/>
      <c r="G778" s="108"/>
      <c r="H778" s="108"/>
    </row>
    <row r="779" spans="1:8" ht="15.75" customHeight="1">
      <c r="A779" s="108"/>
      <c r="B779" s="108"/>
      <c r="C779" s="108"/>
      <c r="D779" s="108"/>
      <c r="E779" s="108"/>
      <c r="F779" s="108"/>
      <c r="G779" s="108"/>
      <c r="H779" s="108"/>
    </row>
    <row r="780" spans="1:8" ht="15.75" customHeight="1">
      <c r="A780" s="108"/>
      <c r="B780" s="108"/>
      <c r="C780" s="108"/>
      <c r="D780" s="108"/>
      <c r="E780" s="108"/>
      <c r="F780" s="108"/>
      <c r="G780" s="108"/>
      <c r="H780" s="108"/>
    </row>
    <row r="781" spans="1:8" ht="15.75" customHeight="1">
      <c r="A781" s="108"/>
      <c r="B781" s="108"/>
      <c r="C781" s="108"/>
      <c r="D781" s="108"/>
      <c r="E781" s="108"/>
      <c r="F781" s="108"/>
      <c r="G781" s="108"/>
      <c r="H781" s="108"/>
    </row>
    <row r="782" spans="1:8" ht="15.75" customHeight="1">
      <c r="A782" s="108"/>
      <c r="B782" s="108"/>
      <c r="C782" s="108"/>
      <c r="D782" s="108"/>
      <c r="E782" s="108"/>
      <c r="F782" s="108"/>
      <c r="G782" s="108"/>
      <c r="H782" s="108"/>
    </row>
    <row r="783" spans="1:8" ht="15.75" customHeight="1">
      <c r="A783" s="108"/>
      <c r="B783" s="108"/>
      <c r="C783" s="108"/>
      <c r="D783" s="108"/>
      <c r="E783" s="108"/>
      <c r="F783" s="108"/>
      <c r="G783" s="108"/>
      <c r="H783" s="108"/>
    </row>
    <row r="784" spans="1:8" ht="15.75" customHeight="1">
      <c r="A784" s="108"/>
      <c r="B784" s="108"/>
      <c r="C784" s="108"/>
      <c r="D784" s="108"/>
      <c r="E784" s="108"/>
      <c r="F784" s="108"/>
      <c r="G784" s="108"/>
      <c r="H784" s="108"/>
    </row>
    <row r="785" spans="1:8" ht="15.75" customHeight="1">
      <c r="A785" s="108"/>
      <c r="B785" s="108"/>
      <c r="C785" s="108"/>
      <c r="D785" s="108"/>
      <c r="E785" s="108"/>
      <c r="F785" s="108"/>
      <c r="G785" s="108"/>
      <c r="H785" s="108"/>
    </row>
    <row r="786" spans="1:8" ht="15.75" customHeight="1">
      <c r="A786" s="108"/>
      <c r="B786" s="108"/>
      <c r="C786" s="108"/>
      <c r="D786" s="108"/>
      <c r="E786" s="108"/>
      <c r="F786" s="108"/>
      <c r="G786" s="108"/>
      <c r="H786" s="108"/>
    </row>
    <row r="787" spans="1:8" ht="15.75" customHeight="1">
      <c r="A787" s="108"/>
      <c r="B787" s="108"/>
      <c r="C787" s="108"/>
      <c r="D787" s="108"/>
      <c r="E787" s="108"/>
      <c r="F787" s="108"/>
      <c r="G787" s="108"/>
      <c r="H787" s="108"/>
    </row>
    <row r="788" spans="1:8" ht="15.75" customHeight="1">
      <c r="A788" s="108"/>
      <c r="B788" s="108"/>
      <c r="C788" s="108"/>
      <c r="D788" s="108"/>
      <c r="E788" s="108"/>
      <c r="F788" s="108"/>
      <c r="G788" s="108"/>
      <c r="H788" s="108"/>
    </row>
    <row r="789" spans="1:8" ht="15.75" customHeight="1">
      <c r="A789" s="108"/>
      <c r="B789" s="108"/>
      <c r="C789" s="108"/>
      <c r="D789" s="108"/>
      <c r="E789" s="108"/>
      <c r="F789" s="108"/>
      <c r="G789" s="108"/>
      <c r="H789" s="108"/>
    </row>
    <row r="790" spans="1:8" ht="15.75" customHeight="1">
      <c r="A790" s="108"/>
      <c r="B790" s="108"/>
      <c r="C790" s="108"/>
      <c r="D790" s="108"/>
      <c r="E790" s="108"/>
      <c r="F790" s="108"/>
      <c r="G790" s="108"/>
      <c r="H790" s="108"/>
    </row>
    <row r="791" spans="1:8" ht="15.75" customHeight="1">
      <c r="A791" s="108"/>
      <c r="B791" s="108"/>
      <c r="C791" s="108"/>
      <c r="D791" s="108"/>
      <c r="E791" s="108"/>
      <c r="F791" s="108"/>
      <c r="G791" s="108"/>
      <c r="H791" s="108"/>
    </row>
    <row r="792" spans="1:8" ht="15.75" customHeight="1">
      <c r="A792" s="108"/>
      <c r="B792" s="108"/>
      <c r="C792" s="108"/>
      <c r="D792" s="108"/>
      <c r="E792" s="108"/>
      <c r="F792" s="108"/>
      <c r="G792" s="108"/>
      <c r="H792" s="108"/>
    </row>
    <row r="793" spans="1:8" ht="15.75" customHeight="1">
      <c r="A793" s="108"/>
      <c r="B793" s="108"/>
      <c r="C793" s="108"/>
      <c r="D793" s="108"/>
      <c r="E793" s="108"/>
      <c r="F793" s="108"/>
      <c r="G793" s="108"/>
      <c r="H793" s="108"/>
    </row>
    <row r="794" spans="1:8" ht="15.75" customHeight="1">
      <c r="A794" s="108"/>
      <c r="B794" s="108"/>
      <c r="C794" s="108"/>
      <c r="D794" s="108"/>
      <c r="E794" s="108"/>
      <c r="F794" s="108"/>
      <c r="G794" s="108"/>
      <c r="H794" s="108"/>
    </row>
    <row r="795" spans="1:8" ht="15.75" customHeight="1">
      <c r="A795" s="108"/>
      <c r="B795" s="108"/>
      <c r="C795" s="108"/>
      <c r="D795" s="108"/>
      <c r="E795" s="108"/>
      <c r="F795" s="108"/>
      <c r="G795" s="108"/>
      <c r="H795" s="108"/>
    </row>
    <row r="796" spans="1:8" ht="15.75" customHeight="1">
      <c r="A796" s="108"/>
      <c r="B796" s="108"/>
      <c r="C796" s="108"/>
      <c r="D796" s="108"/>
      <c r="E796" s="108"/>
      <c r="F796" s="108"/>
      <c r="G796" s="108"/>
      <c r="H796" s="108"/>
    </row>
    <row r="797" spans="1:8" ht="15.75" customHeight="1">
      <c r="A797" s="108"/>
      <c r="B797" s="108"/>
      <c r="C797" s="108"/>
      <c r="D797" s="108"/>
      <c r="E797" s="108"/>
      <c r="F797" s="108"/>
      <c r="G797" s="108"/>
      <c r="H797" s="108"/>
    </row>
    <row r="798" spans="1:8" ht="15.75" customHeight="1">
      <c r="A798" s="108"/>
      <c r="B798" s="108"/>
      <c r="C798" s="108"/>
      <c r="D798" s="108"/>
      <c r="E798" s="108"/>
      <c r="F798" s="108"/>
      <c r="G798" s="108"/>
      <c r="H798" s="108"/>
    </row>
    <row r="799" spans="1:8" ht="15.75" customHeight="1">
      <c r="A799" s="108"/>
      <c r="B799" s="108"/>
      <c r="C799" s="108"/>
      <c r="D799" s="108"/>
      <c r="E799" s="108"/>
      <c r="F799" s="108"/>
      <c r="G799" s="108"/>
      <c r="H799" s="108"/>
    </row>
    <row r="800" spans="1:8" ht="15.75" customHeight="1">
      <c r="A800" s="108"/>
      <c r="B800" s="108"/>
      <c r="C800" s="108"/>
      <c r="D800" s="108"/>
      <c r="E800" s="108"/>
      <c r="F800" s="108"/>
      <c r="G800" s="108"/>
      <c r="H800" s="108"/>
    </row>
    <row r="801" spans="1:8" ht="15.75" customHeight="1">
      <c r="A801" s="108"/>
      <c r="B801" s="108"/>
      <c r="C801" s="108"/>
      <c r="D801" s="108"/>
      <c r="E801" s="108"/>
      <c r="F801" s="108"/>
      <c r="G801" s="108"/>
      <c r="H801" s="108"/>
    </row>
    <row r="802" spans="1:8" ht="15.75" customHeight="1">
      <c r="A802" s="108"/>
      <c r="B802" s="108"/>
      <c r="C802" s="108"/>
      <c r="D802" s="108"/>
      <c r="E802" s="108"/>
      <c r="F802" s="108"/>
      <c r="G802" s="108"/>
      <c r="H802" s="108"/>
    </row>
    <row r="803" spans="1:8" ht="15.75" customHeight="1">
      <c r="A803" s="108"/>
      <c r="B803" s="108"/>
      <c r="C803" s="108"/>
      <c r="D803" s="108"/>
      <c r="E803" s="108"/>
      <c r="F803" s="108"/>
      <c r="G803" s="108"/>
      <c r="H803" s="108"/>
    </row>
    <row r="804" spans="1:8" ht="15.75" customHeight="1">
      <c r="A804" s="108"/>
      <c r="B804" s="108"/>
      <c r="C804" s="108"/>
      <c r="D804" s="108"/>
      <c r="E804" s="108"/>
      <c r="F804" s="108"/>
      <c r="G804" s="108"/>
      <c r="H804" s="108"/>
    </row>
    <row r="805" spans="1:8" ht="15.75" customHeight="1">
      <c r="A805" s="108"/>
      <c r="B805" s="108"/>
      <c r="C805" s="108"/>
      <c r="D805" s="108"/>
      <c r="E805" s="108"/>
      <c r="F805" s="108"/>
      <c r="G805" s="108"/>
      <c r="H805" s="108"/>
    </row>
    <row r="806" spans="1:8" ht="15.75" customHeight="1">
      <c r="A806" s="108"/>
      <c r="B806" s="108"/>
      <c r="C806" s="108"/>
      <c r="D806" s="108"/>
      <c r="E806" s="108"/>
      <c r="F806" s="108"/>
      <c r="G806" s="108"/>
      <c r="H806" s="108"/>
    </row>
    <row r="807" spans="1:8" ht="15.75" customHeight="1">
      <c r="A807" s="108"/>
      <c r="B807" s="108"/>
      <c r="C807" s="108"/>
      <c r="D807" s="108"/>
      <c r="E807" s="108"/>
      <c r="F807" s="108"/>
      <c r="G807" s="108"/>
      <c r="H807" s="108"/>
    </row>
    <row r="808" spans="1:8" ht="15.75" customHeight="1">
      <c r="A808" s="108"/>
      <c r="B808" s="108"/>
      <c r="C808" s="108"/>
      <c r="D808" s="108"/>
      <c r="E808" s="108"/>
      <c r="F808" s="108"/>
      <c r="G808" s="108"/>
      <c r="H808" s="108"/>
    </row>
    <row r="809" spans="1:8" ht="15.75" customHeight="1">
      <c r="A809" s="108"/>
      <c r="B809" s="108"/>
      <c r="C809" s="108"/>
      <c r="D809" s="108"/>
      <c r="E809" s="108"/>
      <c r="F809" s="108"/>
      <c r="G809" s="108"/>
      <c r="H809" s="108"/>
    </row>
    <row r="810" spans="1:8" ht="15.75" customHeight="1">
      <c r="A810" s="108"/>
      <c r="B810" s="108"/>
      <c r="C810" s="108"/>
      <c r="D810" s="108"/>
      <c r="E810" s="108"/>
      <c r="F810" s="108"/>
      <c r="G810" s="108"/>
      <c r="H810" s="108"/>
    </row>
    <row r="811" spans="1:8" ht="15.75" customHeight="1">
      <c r="A811" s="108"/>
      <c r="B811" s="108"/>
      <c r="C811" s="108"/>
      <c r="D811" s="108"/>
      <c r="E811" s="108"/>
      <c r="F811" s="108"/>
      <c r="G811" s="108"/>
      <c r="H811" s="108"/>
    </row>
    <row r="812" spans="1:8" ht="15.75" customHeight="1">
      <c r="A812" s="108"/>
      <c r="B812" s="108"/>
      <c r="C812" s="108"/>
      <c r="D812" s="108"/>
      <c r="E812" s="108"/>
      <c r="F812" s="108"/>
      <c r="G812" s="108"/>
      <c r="H812" s="108"/>
    </row>
    <row r="813" spans="1:8" ht="15.75" customHeight="1">
      <c r="A813" s="108"/>
      <c r="B813" s="108"/>
      <c r="C813" s="108"/>
      <c r="D813" s="108"/>
      <c r="E813" s="108"/>
      <c r="F813" s="108"/>
      <c r="G813" s="108"/>
      <c r="H813" s="108"/>
    </row>
    <row r="814" spans="1:8" ht="15.75" customHeight="1">
      <c r="A814" s="108"/>
      <c r="B814" s="108"/>
      <c r="C814" s="108"/>
      <c r="D814" s="108"/>
      <c r="E814" s="108"/>
      <c r="F814" s="108"/>
      <c r="G814" s="108"/>
      <c r="H814" s="108"/>
    </row>
    <row r="815" spans="1:8" ht="15.75" customHeight="1">
      <c r="A815" s="108"/>
      <c r="B815" s="108"/>
      <c r="C815" s="108"/>
      <c r="D815" s="108"/>
      <c r="E815" s="108"/>
      <c r="F815" s="108"/>
      <c r="G815" s="108"/>
      <c r="H815" s="108"/>
    </row>
    <row r="816" spans="1:8" ht="15.75" customHeight="1">
      <c r="A816" s="108"/>
      <c r="B816" s="108"/>
      <c r="C816" s="108"/>
      <c r="D816" s="108"/>
      <c r="E816" s="108"/>
      <c r="F816" s="108"/>
      <c r="G816" s="108"/>
      <c r="H816" s="108"/>
    </row>
    <row r="817" spans="1:8" ht="15.75" customHeight="1">
      <c r="A817" s="108"/>
      <c r="B817" s="108"/>
      <c r="C817" s="108"/>
      <c r="D817" s="108"/>
      <c r="E817" s="108"/>
      <c r="F817" s="108"/>
      <c r="G817" s="108"/>
      <c r="H817" s="108"/>
    </row>
    <row r="818" spans="1:8" ht="15.75" customHeight="1">
      <c r="A818" s="108"/>
      <c r="B818" s="108"/>
      <c r="C818" s="108"/>
      <c r="D818" s="108"/>
      <c r="E818" s="108"/>
      <c r="F818" s="108"/>
      <c r="G818" s="108"/>
      <c r="H818" s="108"/>
    </row>
    <row r="819" spans="1:8" ht="15.75" customHeight="1">
      <c r="A819" s="108"/>
      <c r="B819" s="108"/>
      <c r="C819" s="108"/>
      <c r="D819" s="108"/>
      <c r="E819" s="108"/>
      <c r="F819" s="108"/>
      <c r="G819" s="108"/>
      <c r="H819" s="108"/>
    </row>
    <row r="820" spans="1:8" ht="15.75" customHeight="1">
      <c r="A820" s="108"/>
      <c r="B820" s="108"/>
      <c r="C820" s="108"/>
      <c r="D820" s="108"/>
      <c r="E820" s="108"/>
      <c r="F820" s="108"/>
      <c r="G820" s="108"/>
      <c r="H820" s="108"/>
    </row>
    <row r="821" spans="1:8" ht="15.75" customHeight="1">
      <c r="A821" s="108"/>
      <c r="B821" s="108"/>
      <c r="C821" s="108"/>
      <c r="D821" s="108"/>
      <c r="E821" s="108"/>
      <c r="F821" s="108"/>
      <c r="G821" s="108"/>
      <c r="H821" s="108"/>
    </row>
    <row r="822" spans="1:8" ht="15.75" customHeight="1">
      <c r="A822" s="108"/>
      <c r="B822" s="108"/>
      <c r="C822" s="108"/>
      <c r="D822" s="108"/>
      <c r="E822" s="108"/>
      <c r="F822" s="108"/>
      <c r="G822" s="108"/>
      <c r="H822" s="108"/>
    </row>
    <row r="823" spans="1:8" ht="15.75" customHeight="1">
      <c r="A823" s="108"/>
      <c r="B823" s="108"/>
      <c r="C823" s="108"/>
      <c r="D823" s="108"/>
      <c r="E823" s="108"/>
      <c r="F823" s="108"/>
      <c r="G823" s="108"/>
      <c r="H823" s="108"/>
    </row>
    <row r="824" spans="1:8" ht="15.75" customHeight="1">
      <c r="A824" s="108"/>
      <c r="B824" s="108"/>
      <c r="C824" s="108"/>
      <c r="D824" s="108"/>
      <c r="E824" s="108"/>
      <c r="F824" s="108"/>
      <c r="G824" s="108"/>
      <c r="H824" s="108"/>
    </row>
    <row r="825" spans="1:8" ht="15.75" customHeight="1">
      <c r="A825" s="108"/>
      <c r="B825" s="108"/>
      <c r="C825" s="108"/>
      <c r="D825" s="108"/>
      <c r="E825" s="108"/>
      <c r="F825" s="108"/>
      <c r="G825" s="108"/>
      <c r="H825" s="108"/>
    </row>
    <row r="826" spans="1:8" ht="15.75" customHeight="1">
      <c r="A826" s="108"/>
      <c r="B826" s="108"/>
      <c r="C826" s="108"/>
      <c r="D826" s="108"/>
      <c r="E826" s="108"/>
      <c r="F826" s="108"/>
      <c r="G826" s="108"/>
      <c r="H826" s="108"/>
    </row>
    <row r="827" spans="1:8" ht="15.75" customHeight="1">
      <c r="A827" s="108"/>
      <c r="B827" s="108"/>
      <c r="C827" s="108"/>
      <c r="D827" s="108"/>
      <c r="E827" s="108"/>
      <c r="F827" s="108"/>
      <c r="G827" s="108"/>
      <c r="H827" s="108"/>
    </row>
    <row r="828" spans="1:8" ht="15.75" customHeight="1">
      <c r="A828" s="108"/>
      <c r="B828" s="108"/>
      <c r="C828" s="108"/>
      <c r="D828" s="108"/>
      <c r="E828" s="108"/>
      <c r="F828" s="108"/>
      <c r="G828" s="108"/>
      <c r="H828" s="108"/>
    </row>
    <row r="829" spans="1:8" ht="15.75" customHeight="1">
      <c r="A829" s="108"/>
      <c r="B829" s="108"/>
      <c r="C829" s="108"/>
      <c r="D829" s="108"/>
      <c r="E829" s="108"/>
      <c r="F829" s="108"/>
      <c r="G829" s="108"/>
      <c r="H829" s="108"/>
    </row>
    <row r="830" spans="1:8" ht="15.75" customHeight="1">
      <c r="A830" s="108"/>
      <c r="B830" s="108"/>
      <c r="C830" s="108"/>
      <c r="D830" s="108"/>
      <c r="E830" s="108"/>
      <c r="F830" s="108"/>
      <c r="G830" s="108"/>
      <c r="H830" s="108"/>
    </row>
    <row r="831" spans="1:8" ht="15.75" customHeight="1">
      <c r="A831" s="108"/>
      <c r="B831" s="108"/>
      <c r="C831" s="108"/>
      <c r="D831" s="108"/>
      <c r="E831" s="108"/>
      <c r="F831" s="108"/>
      <c r="G831" s="108"/>
      <c r="H831" s="108"/>
    </row>
    <row r="832" spans="1:8" ht="15.75" customHeight="1">
      <c r="A832" s="108"/>
      <c r="B832" s="108"/>
      <c r="C832" s="108"/>
      <c r="D832" s="108"/>
      <c r="E832" s="108"/>
      <c r="F832" s="108"/>
      <c r="G832" s="108"/>
      <c r="H832" s="108"/>
    </row>
    <row r="833" spans="1:8" ht="15.75" customHeight="1">
      <c r="A833" s="108"/>
      <c r="B833" s="108"/>
      <c r="C833" s="108"/>
      <c r="D833" s="108"/>
      <c r="E833" s="108"/>
      <c r="F833" s="108"/>
      <c r="G833" s="108"/>
      <c r="H833" s="108"/>
    </row>
    <row r="834" spans="1:8" ht="15.75" customHeight="1">
      <c r="A834" s="108"/>
      <c r="B834" s="108"/>
      <c r="C834" s="108"/>
      <c r="D834" s="108"/>
      <c r="E834" s="108"/>
      <c r="F834" s="108"/>
      <c r="G834" s="108"/>
      <c r="H834" s="108"/>
    </row>
    <row r="835" spans="1:8" ht="15.75" customHeight="1">
      <c r="A835" s="108"/>
      <c r="B835" s="108"/>
      <c r="C835" s="108"/>
      <c r="D835" s="108"/>
      <c r="E835" s="108"/>
      <c r="F835" s="108"/>
      <c r="G835" s="108"/>
      <c r="H835" s="108"/>
    </row>
    <row r="836" spans="1:8" ht="15.75" customHeight="1">
      <c r="A836" s="108"/>
      <c r="B836" s="108"/>
      <c r="C836" s="108"/>
      <c r="D836" s="108"/>
      <c r="E836" s="108"/>
      <c r="F836" s="108"/>
      <c r="G836" s="108"/>
      <c r="H836" s="108"/>
    </row>
    <row r="837" spans="1:8" ht="15.75" customHeight="1">
      <c r="A837" s="108"/>
      <c r="B837" s="108"/>
      <c r="C837" s="108"/>
      <c r="D837" s="108"/>
      <c r="E837" s="108"/>
      <c r="F837" s="108"/>
      <c r="G837" s="108"/>
      <c r="H837" s="108"/>
    </row>
    <row r="838" spans="1:8" ht="15.75" customHeight="1">
      <c r="A838" s="108"/>
      <c r="B838" s="108"/>
      <c r="C838" s="108"/>
      <c r="D838" s="108"/>
      <c r="E838" s="108"/>
      <c r="F838" s="108"/>
      <c r="G838" s="108"/>
      <c r="H838" s="108"/>
    </row>
    <row r="839" spans="1:8" ht="15.75" customHeight="1">
      <c r="A839" s="108"/>
      <c r="B839" s="108"/>
      <c r="C839" s="108"/>
      <c r="D839" s="108"/>
      <c r="E839" s="108"/>
      <c r="F839" s="108"/>
      <c r="G839" s="108"/>
      <c r="H839" s="108"/>
    </row>
    <row r="840" spans="1:8" ht="15.75" customHeight="1">
      <c r="A840" s="108"/>
      <c r="B840" s="108"/>
      <c r="C840" s="108"/>
      <c r="D840" s="108"/>
      <c r="E840" s="108"/>
      <c r="F840" s="108"/>
      <c r="G840" s="108"/>
      <c r="H840" s="108"/>
    </row>
    <row r="841" spans="1:8" ht="15.75" customHeight="1">
      <c r="A841" s="108"/>
      <c r="B841" s="108"/>
      <c r="C841" s="108"/>
      <c r="D841" s="108"/>
      <c r="E841" s="108"/>
      <c r="F841" s="108"/>
      <c r="G841" s="108"/>
      <c r="H841" s="108"/>
    </row>
    <row r="842" spans="1:8" ht="15.75" customHeight="1">
      <c r="A842" s="108"/>
      <c r="B842" s="108"/>
      <c r="C842" s="108"/>
      <c r="D842" s="108"/>
      <c r="E842" s="108"/>
      <c r="F842" s="108"/>
      <c r="G842" s="108"/>
      <c r="H842" s="108"/>
    </row>
    <row r="843" spans="1:8" ht="15.75" customHeight="1">
      <c r="A843" s="108"/>
      <c r="B843" s="108"/>
      <c r="C843" s="108"/>
      <c r="D843" s="108"/>
      <c r="E843" s="108"/>
      <c r="F843" s="108"/>
      <c r="G843" s="108"/>
      <c r="H843" s="108"/>
    </row>
    <row r="844" spans="1:8" ht="15.75" customHeight="1">
      <c r="A844" s="108"/>
      <c r="B844" s="108"/>
      <c r="C844" s="108"/>
      <c r="D844" s="108"/>
      <c r="E844" s="108"/>
      <c r="F844" s="108"/>
      <c r="G844" s="108"/>
      <c r="H844" s="108"/>
    </row>
    <row r="845" spans="1:8" ht="15.75" customHeight="1">
      <c r="A845" s="108"/>
      <c r="B845" s="108"/>
      <c r="C845" s="108"/>
      <c r="D845" s="108"/>
      <c r="E845" s="108"/>
      <c r="F845" s="108"/>
      <c r="G845" s="108"/>
      <c r="H845" s="108"/>
    </row>
    <row r="846" spans="1:8" ht="15.75" customHeight="1">
      <c r="A846" s="108"/>
      <c r="B846" s="108"/>
      <c r="C846" s="108"/>
      <c r="D846" s="108"/>
      <c r="E846" s="108"/>
      <c r="F846" s="108"/>
      <c r="G846" s="108"/>
      <c r="H846" s="108"/>
    </row>
    <row r="847" spans="1:8" ht="15.75" customHeight="1">
      <c r="A847" s="108"/>
      <c r="B847" s="108"/>
      <c r="C847" s="108"/>
      <c r="D847" s="108"/>
      <c r="E847" s="108"/>
      <c r="F847" s="108"/>
      <c r="G847" s="108"/>
      <c r="H847" s="108"/>
    </row>
    <row r="848" spans="1:8" ht="15.75" customHeight="1">
      <c r="A848" s="108"/>
      <c r="B848" s="108"/>
      <c r="C848" s="108"/>
      <c r="D848" s="108"/>
      <c r="E848" s="108"/>
      <c r="F848" s="108"/>
      <c r="G848" s="108"/>
      <c r="H848" s="108"/>
    </row>
    <row r="849" spans="1:8" ht="15.75" customHeight="1">
      <c r="A849" s="108"/>
      <c r="B849" s="108"/>
      <c r="C849" s="108"/>
      <c r="D849" s="108"/>
      <c r="E849" s="108"/>
      <c r="F849" s="108"/>
      <c r="G849" s="108"/>
      <c r="H849" s="108"/>
    </row>
    <row r="850" spans="1:8" ht="15.75" customHeight="1">
      <c r="A850" s="108"/>
      <c r="B850" s="108"/>
      <c r="C850" s="108"/>
      <c r="D850" s="108"/>
      <c r="E850" s="108"/>
      <c r="F850" s="108"/>
      <c r="G850" s="108"/>
      <c r="H850" s="108"/>
    </row>
    <row r="851" spans="1:8" ht="15.75" customHeight="1">
      <c r="A851" s="108"/>
      <c r="B851" s="108"/>
      <c r="C851" s="108"/>
      <c r="D851" s="108"/>
      <c r="E851" s="108"/>
      <c r="F851" s="108"/>
      <c r="G851" s="108"/>
      <c r="H851" s="108"/>
    </row>
    <row r="852" spans="1:8" ht="15.75" customHeight="1">
      <c r="A852" s="108"/>
      <c r="B852" s="108"/>
      <c r="C852" s="108"/>
      <c r="D852" s="108"/>
      <c r="E852" s="108"/>
      <c r="F852" s="108"/>
      <c r="G852" s="108"/>
      <c r="H852" s="108"/>
    </row>
    <row r="853" spans="1:8" ht="15.75" customHeight="1">
      <c r="A853" s="108"/>
      <c r="B853" s="108"/>
      <c r="C853" s="108"/>
      <c r="D853" s="108"/>
      <c r="E853" s="108"/>
      <c r="F853" s="108"/>
      <c r="G853" s="108"/>
      <c r="H853" s="108"/>
    </row>
    <row r="854" spans="1:8" ht="15.75" customHeight="1">
      <c r="A854" s="108"/>
      <c r="B854" s="108"/>
      <c r="C854" s="108"/>
      <c r="D854" s="108"/>
      <c r="E854" s="108"/>
      <c r="F854" s="108"/>
      <c r="G854" s="108"/>
      <c r="H854" s="108"/>
    </row>
    <row r="855" spans="1:8" ht="15.75" customHeight="1">
      <c r="A855" s="108"/>
      <c r="B855" s="108"/>
      <c r="C855" s="108"/>
      <c r="D855" s="108"/>
      <c r="E855" s="108"/>
      <c r="F855" s="108"/>
      <c r="G855" s="108"/>
      <c r="H855" s="108"/>
    </row>
    <row r="856" spans="1:8" ht="15.75" customHeight="1">
      <c r="A856" s="108"/>
      <c r="B856" s="108"/>
      <c r="C856" s="108"/>
      <c r="D856" s="108"/>
      <c r="E856" s="108"/>
      <c r="F856" s="108"/>
      <c r="G856" s="108"/>
      <c r="H856" s="108"/>
    </row>
    <row r="857" spans="1:8" ht="15.75" customHeight="1">
      <c r="A857" s="108"/>
      <c r="B857" s="108"/>
      <c r="C857" s="108"/>
      <c r="D857" s="108"/>
      <c r="E857" s="108"/>
      <c r="F857" s="108"/>
      <c r="G857" s="108"/>
      <c r="H857" s="108"/>
    </row>
    <row r="858" spans="1:8" ht="15.75" customHeight="1">
      <c r="A858" s="108"/>
      <c r="B858" s="108"/>
      <c r="C858" s="108"/>
      <c r="D858" s="108"/>
      <c r="E858" s="108"/>
      <c r="F858" s="108"/>
      <c r="G858" s="108"/>
      <c r="H858" s="108"/>
    </row>
    <row r="859" spans="1:8" ht="15.75" customHeight="1">
      <c r="A859" s="108"/>
      <c r="B859" s="108"/>
      <c r="C859" s="108"/>
      <c r="D859" s="108"/>
      <c r="E859" s="108"/>
      <c r="F859" s="108"/>
      <c r="G859" s="108"/>
      <c r="H859" s="108"/>
    </row>
    <row r="860" spans="1:8" ht="15.75" customHeight="1">
      <c r="A860" s="108"/>
      <c r="B860" s="108"/>
      <c r="C860" s="108"/>
      <c r="D860" s="108"/>
      <c r="E860" s="108"/>
      <c r="F860" s="108"/>
      <c r="G860" s="108"/>
      <c r="H860" s="108"/>
    </row>
    <row r="861" spans="1:8" ht="15.75" customHeight="1">
      <c r="A861" s="108"/>
      <c r="B861" s="108"/>
      <c r="C861" s="108"/>
      <c r="D861" s="108"/>
      <c r="E861" s="108"/>
      <c r="F861" s="108"/>
      <c r="G861" s="108"/>
      <c r="H861" s="108"/>
    </row>
    <row r="862" spans="1:8" ht="15.75" customHeight="1">
      <c r="A862" s="108"/>
      <c r="B862" s="108"/>
      <c r="C862" s="108"/>
      <c r="D862" s="108"/>
      <c r="E862" s="108"/>
      <c r="F862" s="108"/>
      <c r="G862" s="108"/>
      <c r="H862" s="108"/>
    </row>
    <row r="863" spans="1:8" ht="15.75" customHeight="1">
      <c r="A863" s="108"/>
      <c r="B863" s="108"/>
      <c r="C863" s="108"/>
      <c r="D863" s="108"/>
      <c r="E863" s="108"/>
      <c r="F863" s="108"/>
      <c r="G863" s="108"/>
      <c r="H863" s="108"/>
    </row>
    <row r="864" spans="1:8" ht="15.75" customHeight="1">
      <c r="A864" s="108"/>
      <c r="B864" s="108"/>
      <c r="C864" s="108"/>
      <c r="D864" s="108"/>
      <c r="E864" s="108"/>
      <c r="F864" s="108"/>
      <c r="G864" s="108"/>
      <c r="H864" s="108"/>
    </row>
    <row r="865" spans="1:8" ht="15.75" customHeight="1">
      <c r="A865" s="108"/>
      <c r="B865" s="108"/>
      <c r="C865" s="108"/>
      <c r="D865" s="108"/>
      <c r="E865" s="108"/>
      <c r="F865" s="108"/>
      <c r="G865" s="108"/>
      <c r="H865" s="108"/>
    </row>
    <row r="866" spans="1:8" ht="15.75" customHeight="1">
      <c r="A866" s="108"/>
      <c r="B866" s="108"/>
      <c r="C866" s="108"/>
      <c r="D866" s="108"/>
      <c r="E866" s="108"/>
      <c r="F866" s="108"/>
      <c r="G866" s="108"/>
      <c r="H866" s="108"/>
    </row>
    <row r="867" spans="1:8" ht="15.75" customHeight="1">
      <c r="A867" s="108"/>
      <c r="B867" s="108"/>
      <c r="C867" s="108"/>
      <c r="D867" s="108"/>
      <c r="E867" s="108"/>
      <c r="F867" s="108"/>
      <c r="G867" s="108"/>
      <c r="H867" s="108"/>
    </row>
    <row r="868" spans="1:8" ht="15.75" customHeight="1">
      <c r="A868" s="108"/>
      <c r="B868" s="108"/>
      <c r="C868" s="108"/>
      <c r="D868" s="108"/>
      <c r="E868" s="108"/>
      <c r="F868" s="108"/>
      <c r="G868" s="108"/>
      <c r="H868" s="108"/>
    </row>
    <row r="869" spans="1:8" ht="15.75" customHeight="1">
      <c r="A869" s="108"/>
      <c r="B869" s="108"/>
      <c r="C869" s="108"/>
      <c r="D869" s="108"/>
      <c r="E869" s="108"/>
      <c r="F869" s="108"/>
      <c r="G869" s="108"/>
      <c r="H869" s="108"/>
    </row>
    <row r="870" spans="1:8" ht="15.75" customHeight="1">
      <c r="A870" s="108"/>
      <c r="B870" s="108"/>
      <c r="C870" s="108"/>
      <c r="D870" s="108"/>
      <c r="E870" s="108"/>
      <c r="F870" s="108"/>
      <c r="G870" s="108"/>
      <c r="H870" s="108"/>
    </row>
    <row r="871" spans="1:8" ht="15.75" customHeight="1">
      <c r="A871" s="108"/>
      <c r="B871" s="108"/>
      <c r="C871" s="108"/>
      <c r="D871" s="108"/>
      <c r="E871" s="108"/>
      <c r="F871" s="108"/>
      <c r="G871" s="108"/>
      <c r="H871" s="108"/>
    </row>
    <row r="872" spans="1:8" ht="15.75" customHeight="1">
      <c r="A872" s="108"/>
      <c r="B872" s="108"/>
      <c r="C872" s="108"/>
      <c r="D872" s="108"/>
      <c r="E872" s="108"/>
      <c r="F872" s="108"/>
      <c r="G872" s="108"/>
      <c r="H872" s="108"/>
    </row>
    <row r="873" spans="1:8" ht="15.75" customHeight="1">
      <c r="A873" s="108"/>
      <c r="B873" s="108"/>
      <c r="C873" s="108"/>
      <c r="D873" s="108"/>
      <c r="E873" s="108"/>
      <c r="F873" s="108"/>
      <c r="G873" s="108"/>
      <c r="H873" s="108"/>
    </row>
    <row r="874" spans="1:8" ht="15.75" customHeight="1">
      <c r="A874" s="108"/>
      <c r="B874" s="108"/>
      <c r="C874" s="108"/>
      <c r="D874" s="108"/>
      <c r="E874" s="108"/>
      <c r="F874" s="108"/>
      <c r="G874" s="108"/>
      <c r="H874" s="108"/>
    </row>
    <row r="875" spans="1:8" ht="15.75" customHeight="1">
      <c r="A875" s="108"/>
      <c r="B875" s="108"/>
      <c r="C875" s="108"/>
      <c r="D875" s="108"/>
      <c r="E875" s="108"/>
      <c r="F875" s="108"/>
      <c r="G875" s="108"/>
      <c r="H875" s="108"/>
    </row>
    <row r="876" spans="1:8" ht="15.75" customHeight="1">
      <c r="A876" s="108"/>
      <c r="B876" s="108"/>
      <c r="C876" s="108"/>
      <c r="D876" s="108"/>
      <c r="E876" s="108"/>
      <c r="F876" s="108"/>
      <c r="G876" s="108"/>
      <c r="H876" s="108"/>
    </row>
    <row r="877" spans="1:8" ht="15.75" customHeight="1">
      <c r="A877" s="108"/>
      <c r="B877" s="108"/>
      <c r="C877" s="108"/>
      <c r="D877" s="108"/>
      <c r="E877" s="108"/>
      <c r="F877" s="108"/>
      <c r="G877" s="108"/>
      <c r="H877" s="108"/>
    </row>
    <row r="878" spans="1:8" ht="15.75" customHeight="1">
      <c r="A878" s="108"/>
      <c r="B878" s="108"/>
      <c r="C878" s="108"/>
      <c r="D878" s="108"/>
      <c r="E878" s="108"/>
      <c r="F878" s="108"/>
      <c r="G878" s="108"/>
      <c r="H878" s="108"/>
    </row>
    <row r="879" spans="1:8" ht="15.75" customHeight="1">
      <c r="A879" s="108"/>
      <c r="B879" s="108"/>
      <c r="C879" s="108"/>
      <c r="D879" s="108"/>
      <c r="E879" s="108"/>
      <c r="F879" s="108"/>
      <c r="G879" s="108"/>
      <c r="H879" s="108"/>
    </row>
    <row r="880" spans="1:8" ht="15.75" customHeight="1">
      <c r="A880" s="108"/>
      <c r="B880" s="108"/>
      <c r="C880" s="108"/>
      <c r="D880" s="108"/>
      <c r="E880" s="108"/>
      <c r="F880" s="108"/>
      <c r="G880" s="108"/>
      <c r="H880" s="108"/>
    </row>
    <row r="881" spans="1:8" ht="15.75" customHeight="1">
      <c r="A881" s="108"/>
      <c r="B881" s="108"/>
      <c r="C881" s="108"/>
      <c r="D881" s="108"/>
      <c r="E881" s="108"/>
      <c r="F881" s="108"/>
      <c r="G881" s="108"/>
      <c r="H881" s="108"/>
    </row>
    <row r="882" spans="1:8" ht="15.75" customHeight="1">
      <c r="A882" s="108"/>
      <c r="B882" s="108"/>
      <c r="C882" s="108"/>
      <c r="D882" s="108"/>
      <c r="E882" s="108"/>
      <c r="F882" s="108"/>
      <c r="G882" s="108"/>
      <c r="H882" s="108"/>
    </row>
    <row r="883" spans="1:8" ht="15.75" customHeight="1">
      <c r="A883" s="108"/>
      <c r="B883" s="108"/>
      <c r="C883" s="108"/>
      <c r="D883" s="108"/>
      <c r="E883" s="108"/>
      <c r="F883" s="108"/>
      <c r="G883" s="108"/>
      <c r="H883" s="108"/>
    </row>
    <row r="884" spans="1:8" ht="15.75" customHeight="1">
      <c r="A884" s="108"/>
      <c r="B884" s="108"/>
      <c r="C884" s="108"/>
      <c r="D884" s="108"/>
      <c r="E884" s="108"/>
      <c r="F884" s="108"/>
      <c r="G884" s="108"/>
      <c r="H884" s="108"/>
    </row>
    <row r="885" spans="1:8" ht="15.75" customHeight="1">
      <c r="A885" s="108"/>
      <c r="B885" s="108"/>
      <c r="C885" s="108"/>
      <c r="D885" s="108"/>
      <c r="E885" s="108"/>
      <c r="F885" s="108"/>
      <c r="G885" s="108"/>
      <c r="H885" s="108"/>
    </row>
    <row r="886" spans="1:8" ht="15.75" customHeight="1">
      <c r="A886" s="108"/>
      <c r="B886" s="108"/>
      <c r="C886" s="108"/>
      <c r="D886" s="108"/>
      <c r="E886" s="108"/>
      <c r="F886" s="108"/>
      <c r="G886" s="108"/>
      <c r="H886" s="108"/>
    </row>
    <row r="887" spans="1:8" ht="15.75" customHeight="1">
      <c r="A887" s="108"/>
      <c r="B887" s="108"/>
      <c r="C887" s="108"/>
      <c r="D887" s="108"/>
      <c r="E887" s="108"/>
      <c r="F887" s="108"/>
      <c r="G887" s="108"/>
      <c r="H887" s="108"/>
    </row>
    <row r="888" spans="1:8" ht="15.75" customHeight="1">
      <c r="A888" s="108"/>
      <c r="B888" s="108"/>
      <c r="C888" s="108"/>
      <c r="D888" s="108"/>
      <c r="E888" s="108"/>
      <c r="F888" s="108"/>
      <c r="G888" s="108"/>
      <c r="H888" s="108"/>
    </row>
    <row r="889" spans="1:8" ht="15.75" customHeight="1">
      <c r="A889" s="108"/>
      <c r="B889" s="108"/>
      <c r="C889" s="108"/>
      <c r="D889" s="108"/>
      <c r="E889" s="108"/>
      <c r="F889" s="108"/>
      <c r="G889" s="108"/>
      <c r="H889" s="108"/>
    </row>
    <row r="890" spans="1:8" ht="15.75" customHeight="1">
      <c r="A890" s="108"/>
      <c r="B890" s="108"/>
      <c r="C890" s="108"/>
      <c r="D890" s="108"/>
      <c r="E890" s="108"/>
      <c r="F890" s="108"/>
      <c r="G890" s="108"/>
      <c r="H890" s="108"/>
    </row>
    <row r="891" spans="1:8" ht="15.75" customHeight="1">
      <c r="A891" s="108"/>
      <c r="B891" s="108"/>
      <c r="C891" s="108"/>
      <c r="D891" s="108"/>
      <c r="E891" s="108"/>
      <c r="F891" s="108"/>
      <c r="G891" s="108"/>
      <c r="H891" s="108"/>
    </row>
    <row r="892" spans="1:8" ht="15.75" customHeight="1">
      <c r="A892" s="108"/>
      <c r="B892" s="108"/>
      <c r="C892" s="108"/>
      <c r="D892" s="108"/>
      <c r="E892" s="108"/>
      <c r="F892" s="108"/>
      <c r="G892" s="108"/>
      <c r="H892" s="108"/>
    </row>
    <row r="893" spans="1:8" ht="15.75" customHeight="1">
      <c r="A893" s="108"/>
      <c r="B893" s="108"/>
      <c r="C893" s="108"/>
      <c r="D893" s="108"/>
      <c r="E893" s="108"/>
      <c r="F893" s="108"/>
      <c r="G893" s="108"/>
      <c r="H893" s="108"/>
    </row>
    <row r="894" spans="1:8" ht="15.75" customHeight="1">
      <c r="A894" s="108"/>
      <c r="B894" s="108"/>
      <c r="C894" s="108"/>
      <c r="D894" s="108"/>
      <c r="E894" s="108"/>
      <c r="F894" s="108"/>
      <c r="G894" s="108"/>
      <c r="H894" s="108"/>
    </row>
    <row r="895" spans="1:8" ht="15.75" customHeight="1">
      <c r="A895" s="108"/>
      <c r="B895" s="108"/>
      <c r="C895" s="108"/>
      <c r="D895" s="108"/>
      <c r="E895" s="108"/>
      <c r="F895" s="108"/>
      <c r="G895" s="108"/>
      <c r="H895" s="108"/>
    </row>
    <row r="896" spans="1:8" ht="15.75" customHeight="1">
      <c r="A896" s="108"/>
      <c r="B896" s="108"/>
      <c r="C896" s="108"/>
      <c r="D896" s="108"/>
      <c r="E896" s="108"/>
      <c r="F896" s="108"/>
      <c r="G896" s="108"/>
      <c r="H896" s="108"/>
    </row>
    <row r="897" spans="1:8" ht="15.75" customHeight="1">
      <c r="A897" s="108"/>
      <c r="B897" s="108"/>
      <c r="C897" s="108"/>
      <c r="D897" s="108"/>
      <c r="E897" s="108"/>
      <c r="F897" s="108"/>
      <c r="G897" s="108"/>
      <c r="H897" s="108"/>
    </row>
    <row r="898" spans="1:8" ht="15.75" customHeight="1">
      <c r="A898" s="108"/>
      <c r="B898" s="108"/>
      <c r="C898" s="108"/>
      <c r="D898" s="108"/>
      <c r="E898" s="108"/>
      <c r="F898" s="108"/>
      <c r="G898" s="108"/>
      <c r="H898" s="108"/>
    </row>
    <row r="899" spans="1:8" ht="15.75" customHeight="1">
      <c r="A899" s="108"/>
      <c r="B899" s="108"/>
      <c r="C899" s="108"/>
      <c r="D899" s="108"/>
      <c r="E899" s="108"/>
      <c r="F899" s="108"/>
      <c r="G899" s="108"/>
      <c r="H899" s="108"/>
    </row>
    <row r="900" spans="1:8" ht="15.75" customHeight="1">
      <c r="A900" s="108"/>
      <c r="B900" s="108"/>
      <c r="C900" s="108"/>
      <c r="D900" s="108"/>
      <c r="E900" s="108"/>
      <c r="F900" s="108"/>
      <c r="G900" s="108"/>
      <c r="H900" s="108"/>
    </row>
    <row r="901" spans="1:8" ht="15.75" customHeight="1">
      <c r="A901" s="108"/>
      <c r="B901" s="108"/>
      <c r="C901" s="108"/>
      <c r="D901" s="108"/>
      <c r="E901" s="108"/>
      <c r="F901" s="108"/>
      <c r="G901" s="108"/>
      <c r="H901" s="108"/>
    </row>
    <row r="902" spans="1:8" ht="15.75" customHeight="1">
      <c r="A902" s="108"/>
      <c r="B902" s="108"/>
      <c r="C902" s="108"/>
      <c r="D902" s="108"/>
      <c r="E902" s="108"/>
      <c r="F902" s="108"/>
      <c r="G902" s="108"/>
      <c r="H902" s="108"/>
    </row>
    <row r="903" spans="1:8" ht="15.75" customHeight="1">
      <c r="A903" s="108"/>
      <c r="B903" s="108"/>
      <c r="C903" s="108"/>
      <c r="D903" s="108"/>
      <c r="E903" s="108"/>
      <c r="F903" s="108"/>
      <c r="G903" s="108"/>
      <c r="H903" s="108"/>
    </row>
    <row r="904" spans="1:8" ht="15.75" customHeight="1">
      <c r="A904" s="108"/>
      <c r="B904" s="108"/>
      <c r="C904" s="108"/>
      <c r="D904" s="108"/>
      <c r="E904" s="108"/>
      <c r="F904" s="108"/>
      <c r="G904" s="108"/>
      <c r="H904" s="108"/>
    </row>
    <row r="905" spans="1:8" ht="15.75" customHeight="1">
      <c r="A905" s="108"/>
      <c r="B905" s="108"/>
      <c r="C905" s="108"/>
      <c r="D905" s="108"/>
      <c r="E905" s="108"/>
      <c r="F905" s="108"/>
      <c r="G905" s="108"/>
      <c r="H905" s="108"/>
    </row>
    <row r="906" spans="1:8" ht="15.75" customHeight="1">
      <c r="A906" s="108"/>
      <c r="B906" s="108"/>
      <c r="C906" s="108"/>
      <c r="D906" s="108"/>
      <c r="E906" s="108"/>
      <c r="F906" s="108"/>
      <c r="G906" s="108"/>
      <c r="H906" s="108"/>
    </row>
    <row r="907" spans="1:8" ht="15.75" customHeight="1">
      <c r="A907" s="108"/>
      <c r="B907" s="108"/>
      <c r="C907" s="108"/>
      <c r="D907" s="108"/>
      <c r="E907" s="108"/>
      <c r="F907" s="108"/>
      <c r="G907" s="108"/>
      <c r="H907" s="108"/>
    </row>
    <row r="908" spans="1:8" ht="15.75" customHeight="1">
      <c r="A908" s="108"/>
      <c r="B908" s="108"/>
      <c r="C908" s="108"/>
      <c r="D908" s="108"/>
      <c r="E908" s="108"/>
      <c r="F908" s="108"/>
      <c r="G908" s="108"/>
      <c r="H908" s="108"/>
    </row>
    <row r="909" spans="1:8" ht="15.75" customHeight="1">
      <c r="A909" s="108"/>
      <c r="B909" s="108"/>
      <c r="C909" s="108"/>
      <c r="D909" s="108"/>
      <c r="E909" s="108"/>
      <c r="F909" s="108"/>
      <c r="G909" s="108"/>
      <c r="H909" s="108"/>
    </row>
    <row r="910" spans="1:8" ht="15.75" customHeight="1">
      <c r="A910" s="108"/>
      <c r="B910" s="108"/>
      <c r="C910" s="108"/>
      <c r="D910" s="108"/>
      <c r="E910" s="108"/>
      <c r="F910" s="108"/>
      <c r="G910" s="108"/>
      <c r="H910" s="108"/>
    </row>
    <row r="911" spans="1:8" ht="15.75" customHeight="1">
      <c r="A911" s="108"/>
      <c r="B911" s="108"/>
      <c r="C911" s="108"/>
      <c r="D911" s="108"/>
      <c r="E911" s="108"/>
      <c r="F911" s="108"/>
      <c r="G911" s="108"/>
      <c r="H911" s="108"/>
    </row>
    <row r="912" spans="1:8" ht="15.75" customHeight="1">
      <c r="A912" s="108"/>
      <c r="B912" s="108"/>
      <c r="C912" s="108"/>
      <c r="D912" s="108"/>
      <c r="E912" s="108"/>
      <c r="F912" s="108"/>
      <c r="G912" s="108"/>
      <c r="H912" s="108"/>
    </row>
    <row r="913" spans="1:8" ht="15.75" customHeight="1">
      <c r="A913" s="108"/>
      <c r="B913" s="108"/>
      <c r="C913" s="108"/>
      <c r="D913" s="108"/>
      <c r="E913" s="108"/>
      <c r="F913" s="108"/>
      <c r="G913" s="108"/>
      <c r="H913" s="108"/>
    </row>
    <row r="914" spans="1:8" ht="15.75" customHeight="1">
      <c r="A914" s="108"/>
      <c r="B914" s="108"/>
      <c r="C914" s="108"/>
      <c r="D914" s="108"/>
      <c r="E914" s="108"/>
      <c r="F914" s="108"/>
      <c r="G914" s="108"/>
      <c r="H914" s="108"/>
    </row>
    <row r="915" spans="1:8" ht="15.75" customHeight="1">
      <c r="A915" s="108"/>
      <c r="B915" s="108"/>
      <c r="C915" s="108"/>
      <c r="D915" s="108"/>
      <c r="E915" s="108"/>
      <c r="F915" s="108"/>
      <c r="G915" s="108"/>
      <c r="H915" s="108"/>
    </row>
    <row r="916" spans="1:8" ht="15.75" customHeight="1">
      <c r="A916" s="108"/>
      <c r="B916" s="108"/>
      <c r="C916" s="108"/>
      <c r="D916" s="108"/>
      <c r="E916" s="108"/>
      <c r="F916" s="108"/>
      <c r="G916" s="108"/>
      <c r="H916" s="108"/>
    </row>
    <row r="917" spans="1:8" ht="15.75" customHeight="1">
      <c r="A917" s="108"/>
      <c r="B917" s="108"/>
      <c r="C917" s="108"/>
      <c r="D917" s="108"/>
      <c r="E917" s="108"/>
      <c r="F917" s="108"/>
      <c r="G917" s="108"/>
      <c r="H917" s="108"/>
    </row>
    <row r="918" spans="1:8" ht="15.75" customHeight="1">
      <c r="A918" s="108"/>
      <c r="B918" s="108"/>
      <c r="C918" s="108"/>
      <c r="D918" s="108"/>
      <c r="E918" s="108"/>
      <c r="F918" s="108"/>
      <c r="G918" s="108"/>
      <c r="H918" s="108"/>
    </row>
    <row r="919" spans="1:8" ht="15.75" customHeight="1">
      <c r="A919" s="108"/>
      <c r="B919" s="108"/>
      <c r="C919" s="108"/>
      <c r="D919" s="108"/>
      <c r="E919" s="108"/>
      <c r="F919" s="108"/>
      <c r="G919" s="108"/>
      <c r="H919" s="108"/>
    </row>
    <row r="920" spans="1:8" ht="15.75" customHeight="1">
      <c r="A920" s="108"/>
      <c r="B920" s="108"/>
      <c r="C920" s="108"/>
      <c r="D920" s="108"/>
      <c r="E920" s="108"/>
      <c r="F920" s="108"/>
      <c r="G920" s="108"/>
      <c r="H920" s="108"/>
    </row>
    <row r="921" spans="1:8" ht="15.75" customHeight="1">
      <c r="A921" s="108"/>
      <c r="B921" s="108"/>
      <c r="C921" s="108"/>
      <c r="D921" s="108"/>
      <c r="E921" s="108"/>
      <c r="F921" s="108"/>
      <c r="G921" s="108"/>
      <c r="H921" s="108"/>
    </row>
    <row r="922" spans="1:8" ht="15.75" customHeight="1">
      <c r="A922" s="108"/>
      <c r="B922" s="108"/>
      <c r="C922" s="108"/>
      <c r="D922" s="108"/>
      <c r="E922" s="108"/>
      <c r="F922" s="108"/>
      <c r="G922" s="108"/>
      <c r="H922" s="108"/>
    </row>
    <row r="923" spans="1:8" ht="15.75" customHeight="1">
      <c r="A923" s="108"/>
      <c r="B923" s="108"/>
      <c r="C923" s="108"/>
      <c r="D923" s="108"/>
      <c r="E923" s="108"/>
      <c r="F923" s="108"/>
      <c r="G923" s="108"/>
      <c r="H923" s="108"/>
    </row>
    <row r="924" spans="1:8" ht="15.75" customHeight="1">
      <c r="A924" s="108"/>
      <c r="B924" s="108"/>
      <c r="C924" s="108"/>
      <c r="D924" s="108"/>
      <c r="E924" s="108"/>
      <c r="F924" s="108"/>
      <c r="G924" s="108"/>
      <c r="H924" s="108"/>
    </row>
    <row r="925" spans="1:8" ht="15.75" customHeight="1">
      <c r="A925" s="108"/>
      <c r="B925" s="108"/>
      <c r="C925" s="108"/>
      <c r="D925" s="108"/>
      <c r="E925" s="108"/>
      <c r="F925" s="108"/>
      <c r="G925" s="108"/>
      <c r="H925" s="108"/>
    </row>
    <row r="926" spans="1:8" ht="15.75" customHeight="1">
      <c r="A926" s="108"/>
      <c r="B926" s="108"/>
      <c r="C926" s="108"/>
      <c r="D926" s="108"/>
      <c r="E926" s="108"/>
      <c r="F926" s="108"/>
      <c r="G926" s="108"/>
      <c r="H926" s="108"/>
    </row>
    <row r="927" spans="1:8" ht="15.75" customHeight="1">
      <c r="A927" s="108"/>
      <c r="B927" s="108"/>
      <c r="C927" s="108"/>
      <c r="D927" s="108"/>
      <c r="E927" s="108"/>
      <c r="F927" s="108"/>
      <c r="G927" s="108"/>
      <c r="H927" s="108"/>
    </row>
    <row r="928" spans="1:8" ht="15.75" customHeight="1">
      <c r="A928" s="108"/>
      <c r="B928" s="108"/>
      <c r="C928" s="108"/>
      <c r="D928" s="108"/>
      <c r="E928" s="108"/>
      <c r="F928" s="108"/>
      <c r="G928" s="108"/>
      <c r="H928" s="108"/>
    </row>
    <row r="929" spans="1:8" ht="15.75" customHeight="1">
      <c r="A929" s="108"/>
      <c r="B929" s="108"/>
      <c r="C929" s="108"/>
      <c r="D929" s="108"/>
      <c r="E929" s="108"/>
      <c r="F929" s="108"/>
      <c r="G929" s="108"/>
      <c r="H929" s="108"/>
    </row>
    <row r="930" spans="1:8" ht="15.75" customHeight="1">
      <c r="A930" s="108"/>
      <c r="B930" s="108"/>
      <c r="C930" s="108"/>
      <c r="D930" s="108"/>
      <c r="E930" s="108"/>
      <c r="F930" s="108"/>
      <c r="G930" s="108"/>
      <c r="H930" s="108"/>
    </row>
    <row r="931" spans="1:8" ht="15.75" customHeight="1">
      <c r="A931" s="108"/>
      <c r="B931" s="108"/>
      <c r="C931" s="108"/>
      <c r="D931" s="108"/>
      <c r="E931" s="108"/>
      <c r="F931" s="108"/>
      <c r="G931" s="108"/>
      <c r="H931" s="108"/>
    </row>
    <row r="932" spans="1:8" ht="15.75" customHeight="1">
      <c r="A932" s="108"/>
      <c r="B932" s="108"/>
      <c r="C932" s="108"/>
      <c r="D932" s="108"/>
      <c r="E932" s="108"/>
      <c r="F932" s="108"/>
      <c r="G932" s="108"/>
      <c r="H932" s="108"/>
    </row>
    <row r="933" spans="1:8" ht="15.75" customHeight="1">
      <c r="A933" s="108"/>
      <c r="B933" s="108"/>
      <c r="C933" s="108"/>
      <c r="D933" s="108"/>
      <c r="E933" s="108"/>
      <c r="F933" s="108"/>
      <c r="G933" s="108"/>
      <c r="H933" s="108"/>
    </row>
    <row r="934" spans="1:8" ht="15.75" customHeight="1">
      <c r="A934" s="108"/>
      <c r="B934" s="108"/>
      <c r="C934" s="108"/>
      <c r="D934" s="108"/>
      <c r="E934" s="108"/>
      <c r="F934" s="108"/>
      <c r="G934" s="108"/>
      <c r="H934" s="108"/>
    </row>
    <row r="935" spans="1:8" ht="15.75" customHeight="1">
      <c r="A935" s="108"/>
      <c r="B935" s="108"/>
      <c r="C935" s="108"/>
      <c r="D935" s="108"/>
      <c r="E935" s="108"/>
      <c r="F935" s="108"/>
      <c r="G935" s="108"/>
      <c r="H935" s="108"/>
    </row>
    <row r="936" spans="1:8" ht="15.75" customHeight="1">
      <c r="A936" s="108"/>
      <c r="B936" s="108"/>
      <c r="C936" s="108"/>
      <c r="D936" s="108"/>
      <c r="E936" s="108"/>
      <c r="F936" s="108"/>
      <c r="G936" s="108"/>
      <c r="H936" s="108"/>
    </row>
    <row r="937" spans="1:8" ht="15.75" customHeight="1">
      <c r="A937" s="108"/>
      <c r="B937" s="108"/>
      <c r="C937" s="108"/>
      <c r="D937" s="108"/>
      <c r="E937" s="108"/>
      <c r="F937" s="108"/>
      <c r="G937" s="108"/>
      <c r="H937" s="108"/>
    </row>
    <row r="938" spans="1:8" ht="15.75" customHeight="1">
      <c r="A938" s="108"/>
      <c r="B938" s="108"/>
      <c r="C938" s="108"/>
      <c r="D938" s="108"/>
      <c r="E938" s="108"/>
      <c r="F938" s="108"/>
      <c r="G938" s="108"/>
      <c r="H938" s="108"/>
    </row>
    <row r="939" spans="1:8" ht="15.75" customHeight="1">
      <c r="A939" s="108"/>
      <c r="B939" s="108"/>
      <c r="C939" s="108"/>
      <c r="D939" s="108"/>
      <c r="E939" s="108"/>
      <c r="F939" s="108"/>
      <c r="G939" s="108"/>
      <c r="H939" s="108"/>
    </row>
    <row r="940" spans="1:8" ht="15.75" customHeight="1">
      <c r="A940" s="108"/>
      <c r="B940" s="108"/>
      <c r="C940" s="108"/>
      <c r="D940" s="108"/>
      <c r="E940" s="108"/>
      <c r="F940" s="108"/>
      <c r="G940" s="108"/>
      <c r="H940" s="108"/>
    </row>
    <row r="941" spans="1:8" ht="15.75" customHeight="1">
      <c r="A941" s="108"/>
      <c r="B941" s="108"/>
      <c r="C941" s="108"/>
      <c r="D941" s="108"/>
      <c r="E941" s="108"/>
      <c r="F941" s="108"/>
      <c r="G941" s="108"/>
      <c r="H941" s="108"/>
    </row>
    <row r="942" spans="1:8" ht="15.75" customHeight="1">
      <c r="A942" s="108"/>
      <c r="B942" s="108"/>
      <c r="C942" s="108"/>
      <c r="D942" s="108"/>
      <c r="E942" s="108"/>
      <c r="F942" s="108"/>
      <c r="G942" s="108"/>
      <c r="H942" s="108"/>
    </row>
    <row r="943" spans="1:8" ht="15.75" customHeight="1">
      <c r="A943" s="108"/>
      <c r="B943" s="108"/>
      <c r="C943" s="108"/>
      <c r="D943" s="108"/>
      <c r="E943" s="108"/>
      <c r="F943" s="108"/>
      <c r="G943" s="108"/>
      <c r="H943" s="108"/>
    </row>
    <row r="944" spans="1:8" ht="15.75" customHeight="1">
      <c r="A944" s="108"/>
      <c r="B944" s="108"/>
      <c r="C944" s="108"/>
      <c r="D944" s="108"/>
      <c r="E944" s="108"/>
      <c r="F944" s="108"/>
      <c r="G944" s="108"/>
      <c r="H944" s="108"/>
    </row>
    <row r="945" spans="1:8" ht="15.75" customHeight="1">
      <c r="A945" s="108"/>
      <c r="B945" s="108"/>
      <c r="C945" s="108"/>
      <c r="D945" s="108"/>
      <c r="E945" s="108"/>
      <c r="F945" s="108"/>
      <c r="G945" s="108"/>
      <c r="H945" s="108"/>
    </row>
    <row r="946" spans="1:8" ht="15.75" customHeight="1">
      <c r="A946" s="108"/>
      <c r="B946" s="108"/>
      <c r="C946" s="108"/>
      <c r="D946" s="108"/>
      <c r="E946" s="108"/>
      <c r="F946" s="108"/>
      <c r="G946" s="108"/>
      <c r="H946" s="108"/>
    </row>
    <row r="947" spans="1:8" ht="15.75" customHeight="1">
      <c r="A947" s="108"/>
      <c r="B947" s="108"/>
      <c r="C947" s="108"/>
      <c r="D947" s="108"/>
      <c r="E947" s="108"/>
      <c r="F947" s="108"/>
      <c r="G947" s="108"/>
      <c r="H947" s="108"/>
    </row>
    <row r="948" spans="1:8" ht="15.75" customHeight="1">
      <c r="A948" s="108"/>
      <c r="B948" s="108"/>
      <c r="C948" s="108"/>
      <c r="D948" s="108"/>
      <c r="E948" s="108"/>
      <c r="F948" s="108"/>
      <c r="G948" s="108"/>
      <c r="H948" s="108"/>
    </row>
    <row r="949" spans="1:8" ht="15.75" customHeight="1">
      <c r="A949" s="108"/>
      <c r="B949" s="108"/>
      <c r="C949" s="108"/>
      <c r="D949" s="108"/>
      <c r="E949" s="108"/>
      <c r="F949" s="108"/>
      <c r="G949" s="108"/>
      <c r="H949" s="108"/>
    </row>
    <row r="950" spans="1:8" ht="15.75" customHeight="1">
      <c r="A950" s="108"/>
      <c r="B950" s="108"/>
      <c r="C950" s="108"/>
      <c r="D950" s="108"/>
      <c r="E950" s="108"/>
      <c r="F950" s="108"/>
      <c r="G950" s="108"/>
      <c r="H950" s="108"/>
    </row>
    <row r="951" spans="1:8" ht="15.75" customHeight="1">
      <c r="A951" s="108"/>
      <c r="B951" s="108"/>
      <c r="C951" s="108"/>
      <c r="D951" s="108"/>
      <c r="E951" s="108"/>
      <c r="F951" s="108"/>
      <c r="G951" s="108"/>
      <c r="H951" s="108"/>
    </row>
    <row r="952" spans="1:8" ht="15.75" customHeight="1">
      <c r="A952" s="108"/>
      <c r="B952" s="108"/>
      <c r="C952" s="108"/>
      <c r="D952" s="108"/>
      <c r="E952" s="108"/>
      <c r="F952" s="108"/>
      <c r="G952" s="108"/>
      <c r="H952" s="108"/>
    </row>
    <row r="953" spans="1:8" ht="15.75" customHeight="1">
      <c r="A953" s="108"/>
      <c r="B953" s="108"/>
      <c r="C953" s="108"/>
      <c r="D953" s="108"/>
      <c r="E953" s="108"/>
      <c r="F953" s="108"/>
      <c r="G953" s="108"/>
      <c r="H953" s="108"/>
    </row>
    <row r="954" spans="1:8" ht="15.75" customHeight="1">
      <c r="A954" s="108"/>
      <c r="B954" s="108"/>
      <c r="C954" s="108"/>
      <c r="D954" s="108"/>
      <c r="E954" s="108"/>
      <c r="F954" s="108"/>
      <c r="G954" s="108"/>
      <c r="H954" s="108"/>
    </row>
    <row r="955" spans="1:8" ht="15.75" customHeight="1">
      <c r="A955" s="108"/>
      <c r="B955" s="108"/>
      <c r="C955" s="108"/>
      <c r="D955" s="108"/>
      <c r="E955" s="108"/>
      <c r="F955" s="108"/>
      <c r="G955" s="108"/>
      <c r="H955" s="108"/>
    </row>
    <row r="956" spans="1:8" ht="15.75" customHeight="1">
      <c r="A956" s="108"/>
      <c r="B956" s="108"/>
      <c r="C956" s="108"/>
      <c r="D956" s="108"/>
      <c r="E956" s="108"/>
      <c r="F956" s="108"/>
      <c r="G956" s="108"/>
      <c r="H956" s="108"/>
    </row>
    <row r="957" spans="1:8" ht="15.75" customHeight="1">
      <c r="A957" s="108"/>
      <c r="B957" s="108"/>
      <c r="C957" s="108"/>
      <c r="D957" s="108"/>
      <c r="E957" s="108"/>
      <c r="F957" s="108"/>
      <c r="G957" s="108"/>
      <c r="H957" s="108"/>
    </row>
    <row r="958" spans="1:8" ht="15.75" customHeight="1">
      <c r="A958" s="108"/>
      <c r="B958" s="108"/>
      <c r="C958" s="108"/>
      <c r="D958" s="108"/>
      <c r="E958" s="108"/>
      <c r="F958" s="108"/>
      <c r="G958" s="108"/>
      <c r="H958" s="108"/>
    </row>
    <row r="959" spans="1:8" ht="15.75" customHeight="1">
      <c r="A959" s="108"/>
      <c r="B959" s="108"/>
      <c r="C959" s="108"/>
      <c r="D959" s="108"/>
      <c r="E959" s="108"/>
      <c r="F959" s="108"/>
      <c r="G959" s="108"/>
      <c r="H959" s="108"/>
    </row>
    <row r="960" spans="1:8" ht="15.75" customHeight="1">
      <c r="A960" s="108"/>
      <c r="B960" s="108"/>
      <c r="C960" s="108"/>
      <c r="D960" s="108"/>
      <c r="E960" s="108"/>
      <c r="F960" s="108"/>
      <c r="G960" s="108"/>
      <c r="H960" s="108"/>
    </row>
    <row r="961" spans="1:8" ht="15.75" customHeight="1">
      <c r="A961" s="108"/>
      <c r="B961" s="108"/>
      <c r="C961" s="108"/>
      <c r="D961" s="108"/>
      <c r="E961" s="108"/>
      <c r="F961" s="108"/>
      <c r="G961" s="108"/>
      <c r="H961" s="108"/>
    </row>
    <row r="962" spans="1:8" ht="15.75" customHeight="1">
      <c r="A962" s="108"/>
      <c r="B962" s="108"/>
      <c r="C962" s="108"/>
      <c r="D962" s="108"/>
      <c r="E962" s="108"/>
      <c r="F962" s="108"/>
      <c r="G962" s="108"/>
      <c r="H962" s="108"/>
    </row>
    <row r="963" spans="1:8" ht="15.75" customHeight="1">
      <c r="A963" s="108"/>
      <c r="B963" s="108"/>
      <c r="C963" s="108"/>
      <c r="D963" s="108"/>
      <c r="E963" s="108"/>
      <c r="F963" s="108"/>
      <c r="G963" s="108"/>
      <c r="H963" s="108"/>
    </row>
    <row r="964" spans="1:8" ht="15.75" customHeight="1">
      <c r="A964" s="108"/>
      <c r="B964" s="108"/>
      <c r="C964" s="108"/>
      <c r="D964" s="108"/>
      <c r="E964" s="108"/>
      <c r="F964" s="108"/>
      <c r="G964" s="108"/>
      <c r="H964" s="108"/>
    </row>
    <row r="965" spans="1:8" ht="15.75" customHeight="1">
      <c r="A965" s="108"/>
      <c r="B965" s="108"/>
      <c r="C965" s="108"/>
      <c r="D965" s="108"/>
      <c r="E965" s="108"/>
      <c r="F965" s="108"/>
      <c r="G965" s="108"/>
      <c r="H965" s="108"/>
    </row>
    <row r="966" spans="1:8" ht="15.75" customHeight="1">
      <c r="A966" s="108"/>
      <c r="B966" s="108"/>
      <c r="C966" s="108"/>
      <c r="D966" s="108"/>
      <c r="E966" s="108"/>
      <c r="F966" s="108"/>
      <c r="G966" s="108"/>
      <c r="H966" s="108"/>
    </row>
    <row r="967" spans="1:8" ht="15.75" customHeight="1">
      <c r="A967" s="108"/>
      <c r="B967" s="108"/>
      <c r="C967" s="108"/>
      <c r="D967" s="108"/>
      <c r="E967" s="108"/>
      <c r="F967" s="108"/>
      <c r="G967" s="108"/>
      <c r="H967" s="108"/>
    </row>
    <row r="968" spans="1:8" ht="15.75" customHeight="1">
      <c r="A968" s="108"/>
      <c r="B968" s="108"/>
      <c r="C968" s="108"/>
      <c r="D968" s="108"/>
      <c r="E968" s="108"/>
      <c r="F968" s="108"/>
      <c r="G968" s="108"/>
      <c r="H968" s="108"/>
    </row>
    <row r="969" spans="1:8" ht="15.75" customHeight="1">
      <c r="A969" s="108"/>
      <c r="B969" s="108"/>
      <c r="C969" s="108"/>
      <c r="D969" s="108"/>
      <c r="E969" s="108"/>
      <c r="F969" s="108"/>
      <c r="G969" s="108"/>
      <c r="H969" s="108"/>
    </row>
    <row r="970" spans="1:8" ht="15.75" customHeight="1">
      <c r="A970" s="108"/>
      <c r="B970" s="108"/>
      <c r="C970" s="108"/>
      <c r="D970" s="108"/>
      <c r="E970" s="108"/>
      <c r="F970" s="108"/>
      <c r="G970" s="108"/>
      <c r="H970" s="108"/>
    </row>
    <row r="971" spans="1:8" ht="15.75" customHeight="1">
      <c r="A971" s="108"/>
      <c r="B971" s="108"/>
      <c r="C971" s="108"/>
      <c r="D971" s="108"/>
      <c r="E971" s="108"/>
      <c r="F971" s="108"/>
      <c r="G971" s="108"/>
      <c r="H971" s="108"/>
    </row>
    <row r="972" spans="1:8" ht="15.75" customHeight="1">
      <c r="A972" s="108"/>
      <c r="B972" s="108"/>
      <c r="C972" s="108"/>
      <c r="D972" s="108"/>
      <c r="E972" s="108"/>
      <c r="F972" s="108"/>
      <c r="G972" s="108"/>
      <c r="H972" s="108"/>
    </row>
    <row r="973" spans="1:8" ht="15.75" customHeight="1">
      <c r="A973" s="108"/>
      <c r="B973" s="108"/>
      <c r="C973" s="108"/>
      <c r="D973" s="108"/>
      <c r="E973" s="108"/>
      <c r="F973" s="108"/>
      <c r="G973" s="108"/>
      <c r="H973" s="108"/>
    </row>
    <row r="974" spans="1:8" ht="15.75" customHeight="1">
      <c r="A974" s="108"/>
      <c r="B974" s="108"/>
      <c r="C974" s="108"/>
      <c r="D974" s="108"/>
      <c r="E974" s="108"/>
      <c r="F974" s="108"/>
      <c r="G974" s="108"/>
      <c r="H974" s="108"/>
    </row>
    <row r="975" spans="1:8" ht="15.75" customHeight="1">
      <c r="A975" s="108"/>
      <c r="B975" s="108"/>
      <c r="C975" s="108"/>
      <c r="D975" s="108"/>
      <c r="E975" s="108"/>
      <c r="F975" s="108"/>
      <c r="G975" s="108"/>
      <c r="H975" s="108"/>
    </row>
    <row r="976" spans="1:8" ht="15.75" customHeight="1">
      <c r="A976" s="108"/>
      <c r="B976" s="108"/>
      <c r="C976" s="108"/>
      <c r="D976" s="108"/>
      <c r="E976" s="108"/>
      <c r="F976" s="108"/>
      <c r="G976" s="108"/>
      <c r="H976" s="108"/>
    </row>
    <row r="977" spans="1:8" ht="15.75" customHeight="1">
      <c r="A977" s="108"/>
      <c r="B977" s="108"/>
      <c r="C977" s="108"/>
      <c r="D977" s="108"/>
      <c r="E977" s="108"/>
      <c r="F977" s="108"/>
      <c r="G977" s="108"/>
      <c r="H977" s="108"/>
    </row>
    <row r="978" spans="1:8" ht="15.75" customHeight="1">
      <c r="A978" s="108"/>
      <c r="B978" s="108"/>
      <c r="C978" s="108"/>
      <c r="D978" s="108"/>
      <c r="E978" s="108"/>
      <c r="F978" s="108"/>
      <c r="G978" s="108"/>
      <c r="H978" s="108"/>
    </row>
    <row r="979" spans="1:8" ht="15.75" customHeight="1">
      <c r="A979" s="108"/>
      <c r="B979" s="108"/>
      <c r="C979" s="108"/>
      <c r="D979" s="108"/>
      <c r="E979" s="108"/>
      <c r="F979" s="108"/>
      <c r="G979" s="108"/>
      <c r="H979" s="108"/>
    </row>
    <row r="980" spans="1:8" ht="15.75" customHeight="1">
      <c r="A980" s="108"/>
      <c r="B980" s="108"/>
      <c r="C980" s="108"/>
      <c r="D980" s="108"/>
      <c r="E980" s="108"/>
      <c r="F980" s="108"/>
      <c r="G980" s="108"/>
      <c r="H980" s="108"/>
    </row>
    <row r="981" spans="1:8" ht="15.75" customHeight="1">
      <c r="A981" s="108"/>
      <c r="B981" s="108"/>
      <c r="C981" s="108"/>
      <c r="D981" s="108"/>
      <c r="E981" s="108"/>
      <c r="F981" s="108"/>
      <c r="G981" s="108"/>
      <c r="H981" s="108"/>
    </row>
    <row r="982" spans="1:8" ht="15.75" customHeight="1">
      <c r="A982" s="108"/>
      <c r="B982" s="108"/>
      <c r="C982" s="108"/>
      <c r="D982" s="108"/>
      <c r="E982" s="108"/>
      <c r="F982" s="108"/>
      <c r="G982" s="108"/>
      <c r="H982" s="108"/>
    </row>
    <row r="983" spans="1:8" ht="15.75" customHeight="1">
      <c r="A983" s="108"/>
      <c r="B983" s="108"/>
      <c r="C983" s="108"/>
      <c r="D983" s="108"/>
      <c r="E983" s="108"/>
      <c r="F983" s="108"/>
      <c r="G983" s="108"/>
      <c r="H983" s="108"/>
    </row>
    <row r="984" spans="1:8" ht="15.75" customHeight="1">
      <c r="A984" s="108"/>
      <c r="B984" s="108"/>
      <c r="C984" s="108"/>
      <c r="D984" s="108"/>
      <c r="E984" s="108"/>
      <c r="F984" s="108"/>
      <c r="G984" s="108"/>
      <c r="H984" s="108"/>
    </row>
    <row r="985" spans="1:8" ht="15.75" customHeight="1">
      <c r="A985" s="108"/>
      <c r="B985" s="108"/>
      <c r="C985" s="108"/>
      <c r="D985" s="108"/>
      <c r="E985" s="108"/>
      <c r="F985" s="108"/>
      <c r="G985" s="108"/>
      <c r="H985" s="108"/>
    </row>
    <row r="986" spans="1:8" ht="15.75" customHeight="1">
      <c r="A986" s="108"/>
      <c r="B986" s="108"/>
      <c r="C986" s="108"/>
      <c r="D986" s="108"/>
      <c r="E986" s="108"/>
      <c r="F986" s="108"/>
      <c r="G986" s="108"/>
      <c r="H986" s="108"/>
    </row>
    <row r="987" spans="1:8" ht="15.75" customHeight="1">
      <c r="A987" s="108"/>
      <c r="B987" s="108"/>
      <c r="C987" s="108"/>
      <c r="D987" s="108"/>
      <c r="E987" s="108"/>
      <c r="F987" s="108"/>
      <c r="G987" s="108"/>
      <c r="H987" s="108"/>
    </row>
    <row r="988" spans="1:8" ht="15.75" customHeight="1">
      <c r="A988" s="108"/>
      <c r="B988" s="108"/>
      <c r="C988" s="108"/>
      <c r="D988" s="108"/>
      <c r="E988" s="108"/>
      <c r="F988" s="108"/>
      <c r="G988" s="108"/>
      <c r="H988" s="108"/>
    </row>
    <row r="989" spans="1:8" ht="15.75" customHeight="1">
      <c r="A989" s="108"/>
      <c r="B989" s="108"/>
      <c r="C989" s="108"/>
      <c r="D989" s="108"/>
      <c r="E989" s="108"/>
      <c r="F989" s="108"/>
      <c r="G989" s="108"/>
      <c r="H989" s="108"/>
    </row>
    <row r="990" spans="1:8" ht="15.75" customHeight="1">
      <c r="A990" s="108"/>
      <c r="B990" s="108"/>
      <c r="C990" s="108"/>
      <c r="D990" s="108"/>
      <c r="E990" s="108"/>
      <c r="F990" s="108"/>
      <c r="G990" s="108"/>
      <c r="H990" s="108"/>
    </row>
    <row r="991" spans="1:8" ht="15.75" customHeight="1">
      <c r="A991" s="108"/>
      <c r="B991" s="108"/>
      <c r="C991" s="108"/>
      <c r="D991" s="108"/>
      <c r="E991" s="108"/>
      <c r="F991" s="108"/>
      <c r="G991" s="108"/>
      <c r="H991" s="108"/>
    </row>
    <row r="992" spans="1:8" ht="15.75" customHeight="1">
      <c r="A992" s="108"/>
      <c r="B992" s="108"/>
      <c r="C992" s="108"/>
      <c r="D992" s="108"/>
      <c r="E992" s="108"/>
      <c r="F992" s="108"/>
      <c r="G992" s="108"/>
      <c r="H992" s="108"/>
    </row>
    <row r="993" spans="1:8" ht="15.75" customHeight="1">
      <c r="A993" s="108"/>
      <c r="B993" s="108"/>
      <c r="C993" s="108"/>
      <c r="D993" s="108"/>
      <c r="E993" s="108"/>
      <c r="F993" s="108"/>
      <c r="G993" s="108"/>
      <c r="H993" s="108"/>
    </row>
    <row r="994" spans="1:8" ht="15.75" customHeight="1">
      <c r="A994" s="108"/>
      <c r="B994" s="108"/>
      <c r="C994" s="108"/>
      <c r="D994" s="108"/>
      <c r="E994" s="108"/>
      <c r="F994" s="108"/>
      <c r="G994" s="108"/>
      <c r="H994" s="108"/>
    </row>
    <row r="995" spans="1:8" ht="15.75" customHeight="1">
      <c r="A995" s="108"/>
      <c r="B995" s="108"/>
      <c r="C995" s="108"/>
      <c r="D995" s="108"/>
      <c r="E995" s="108"/>
      <c r="F995" s="108"/>
      <c r="G995" s="108"/>
      <c r="H995" s="108"/>
    </row>
    <row r="996" spans="1:8" ht="15.75" customHeight="1">
      <c r="A996" s="108"/>
      <c r="B996" s="108"/>
      <c r="C996" s="108"/>
      <c r="D996" s="108"/>
      <c r="E996" s="108"/>
      <c r="F996" s="108"/>
      <c r="G996" s="108"/>
      <c r="H996" s="108"/>
    </row>
    <row r="997" spans="1:8" ht="15.75" customHeight="1">
      <c r="A997" s="108"/>
      <c r="B997" s="108"/>
      <c r="C997" s="108"/>
      <c r="D997" s="108"/>
      <c r="E997" s="108"/>
      <c r="F997" s="108"/>
      <c r="G997" s="108"/>
      <c r="H997" s="108"/>
    </row>
    <row r="998" spans="1:8" ht="15.75" customHeight="1">
      <c r="A998" s="108"/>
      <c r="B998" s="108"/>
      <c r="C998" s="108"/>
      <c r="D998" s="108"/>
      <c r="E998" s="108"/>
      <c r="F998" s="108"/>
      <c r="G998" s="108"/>
      <c r="H998" s="108"/>
    </row>
    <row r="999" spans="1:8" ht="15.75" customHeight="1">
      <c r="A999" s="108"/>
      <c r="B999" s="108"/>
      <c r="C999" s="108"/>
      <c r="D999" s="108"/>
      <c r="E999" s="108"/>
      <c r="F999" s="108"/>
      <c r="G999" s="108"/>
      <c r="H999" s="108"/>
    </row>
    <row r="1000" spans="1:8" ht="15.75" customHeight="1">
      <c r="A1000" s="108"/>
      <c r="B1000" s="108"/>
      <c r="C1000" s="108"/>
      <c r="D1000" s="108"/>
      <c r="E1000" s="108"/>
      <c r="F1000" s="108"/>
      <c r="G1000" s="108"/>
      <c r="H1000" s="108"/>
    </row>
  </sheetData>
  <mergeCells count="5">
    <mergeCell ref="B9:C9"/>
    <mergeCell ref="B11:C11"/>
    <mergeCell ref="B13:C13"/>
    <mergeCell ref="B15:C15"/>
    <mergeCell ref="B17:C17"/>
  </mergeCells>
  <pageMargins left="0.25" right="0.25" top="0.4" bottom="0.4" header="0" footer="0"/>
  <pageSetup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684B-075B-409A-9618-DF2F1EFF7B17}">
  <sheetPr codeName="Hoja1">
    <tabColor theme="3" tint="9.9978637043366805E-2"/>
    <pageSetUpPr fitToPage="1"/>
  </sheetPr>
  <dimension ref="A1:K960"/>
  <sheetViews>
    <sheetView zoomScale="70" zoomScaleNormal="70" workbookViewId="0">
      <selection activeCell="E20" sqref="E20"/>
    </sheetView>
  </sheetViews>
  <sheetFormatPr baseColWidth="10" defaultRowHeight="15.75"/>
  <cols>
    <col min="1" max="1" width="2.5703125" customWidth="1"/>
    <col min="2" max="2" width="27.28515625" customWidth="1"/>
    <col min="3" max="3" width="28.5703125" style="66" customWidth="1"/>
    <col min="4" max="4" width="70.28515625" style="256" customWidth="1"/>
    <col min="5" max="5" width="14.28515625" style="272" customWidth="1"/>
    <col min="6" max="6" width="14.140625" style="269" customWidth="1"/>
    <col min="7" max="7" width="15.7109375" style="275" customWidth="1"/>
    <col min="8" max="8" width="18.140625" style="289" customWidth="1"/>
    <col min="9" max="9" width="20.7109375" style="294" customWidth="1"/>
    <col min="10" max="10" width="20.7109375" style="280" customWidth="1"/>
  </cols>
  <sheetData>
    <row r="1" spans="1:11">
      <c r="A1" s="1"/>
      <c r="B1" s="1"/>
      <c r="C1" s="63"/>
      <c r="D1" s="10"/>
      <c r="E1" s="270"/>
      <c r="F1" s="267"/>
      <c r="G1" s="273"/>
      <c r="H1" s="283"/>
      <c r="I1" s="290"/>
    </row>
    <row r="2" spans="1:11" ht="25.5">
      <c r="A2" s="1"/>
      <c r="B2" s="2" t="s">
        <v>0</v>
      </c>
      <c r="C2" s="63"/>
      <c r="D2" s="10"/>
      <c r="E2" s="270"/>
      <c r="F2" s="267"/>
      <c r="G2" s="273"/>
      <c r="H2" s="283"/>
      <c r="I2" s="290"/>
    </row>
    <row r="3" spans="1:11" ht="16.5">
      <c r="A3" s="1"/>
      <c r="B3" s="3" t="s">
        <v>1</v>
      </c>
      <c r="C3" s="63"/>
      <c r="D3" s="10"/>
      <c r="E3" s="270"/>
      <c r="F3" s="267"/>
      <c r="G3" s="273"/>
      <c r="H3" s="283"/>
      <c r="I3" s="290"/>
    </row>
    <row r="4" spans="1:11">
      <c r="A4" s="1"/>
      <c r="B4" s="1" t="s">
        <v>2</v>
      </c>
      <c r="C4" s="63"/>
      <c r="D4" s="10"/>
      <c r="E4" s="270"/>
      <c r="F4" s="267"/>
      <c r="G4" s="273"/>
      <c r="H4" s="283"/>
      <c r="I4" s="290"/>
    </row>
    <row r="5" spans="1:11">
      <c r="A5" s="1"/>
      <c r="B5" s="4"/>
      <c r="C5" s="64"/>
      <c r="D5" s="245"/>
      <c r="E5" s="271"/>
      <c r="F5" s="268"/>
      <c r="G5" s="274"/>
      <c r="H5" s="284"/>
      <c r="I5" s="291"/>
      <c r="J5" s="281"/>
    </row>
    <row r="6" spans="1:11">
      <c r="A6" s="1"/>
      <c r="B6" s="1"/>
      <c r="C6" s="63"/>
      <c r="D6" s="10"/>
      <c r="E6" s="270"/>
      <c r="F6" s="267"/>
      <c r="G6" s="273"/>
      <c r="H6" s="283"/>
      <c r="I6" s="290"/>
    </row>
    <row r="7" spans="1:11">
      <c r="A7" s="1"/>
      <c r="B7" s="68" t="s">
        <v>64</v>
      </c>
      <c r="C7" s="1"/>
      <c r="D7" s="10"/>
      <c r="E7" s="270"/>
      <c r="F7" s="267"/>
      <c r="H7" s="285"/>
      <c r="I7" s="283"/>
      <c r="J7" s="278" t="str">
        <f>D_CONTROL_KARKOR!G7</f>
        <v>Jueves, 23 de mayo del 2024</v>
      </c>
      <c r="K7" s="254"/>
    </row>
    <row r="8" spans="1:11">
      <c r="A8" s="1"/>
      <c r="B8" s="1"/>
      <c r="C8" s="63"/>
      <c r="D8" s="10"/>
      <c r="E8" s="270"/>
      <c r="H8" s="286"/>
      <c r="I8" s="283"/>
      <c r="J8" s="277"/>
    </row>
    <row r="9" spans="1:11">
      <c r="A9" s="1"/>
      <c r="B9" s="262" t="s">
        <v>5</v>
      </c>
      <c r="C9" s="447">
        <f>D_CONTROL_KARKOR!D9</f>
        <v>0</v>
      </c>
      <c r="D9" s="447"/>
      <c r="E9" s="267"/>
      <c r="F9" s="267"/>
      <c r="H9" s="286"/>
      <c r="I9" s="289"/>
      <c r="J9" s="279" t="str">
        <f>D_CONTROL_KARKOR!G19</f>
        <v>Revisión 01</v>
      </c>
    </row>
    <row r="10" spans="1:11">
      <c r="A10" s="1"/>
      <c r="B10" s="1"/>
      <c r="C10" s="63"/>
      <c r="D10" s="10"/>
      <c r="E10" s="270"/>
      <c r="F10" s="267"/>
      <c r="H10" s="286"/>
      <c r="I10" s="283"/>
      <c r="J10" s="277"/>
    </row>
    <row r="11" spans="1:11">
      <c r="A11" s="1"/>
      <c r="B11" s="1"/>
      <c r="C11" s="63" t="s">
        <v>657</v>
      </c>
      <c r="D11" s="10">
        <v>1</v>
      </c>
      <c r="H11" s="287" t="s">
        <v>348</v>
      </c>
      <c r="I11" s="292"/>
      <c r="J11" s="276"/>
    </row>
    <row r="12" spans="1:11">
      <c r="A12" s="1"/>
      <c r="B12" s="1"/>
      <c r="C12" s="63">
        <v>3</v>
      </c>
      <c r="D12" s="10">
        <v>1</v>
      </c>
      <c r="H12" s="446">
        <f>SUBTOTAL(9,I15:I100)</f>
        <v>932854.89</v>
      </c>
      <c r="I12" s="446"/>
      <c r="J12" s="67">
        <f>H12/D_CONTROL_KARKOR!E52</f>
        <v>0.10330774750918087</v>
      </c>
    </row>
    <row r="13" spans="1:11" ht="15.75" customHeight="1">
      <c r="A13" s="1"/>
      <c r="B13" s="1"/>
      <c r="C13" s="63"/>
      <c r="D13" s="10"/>
      <c r="E13" s="270"/>
      <c r="F13" s="267"/>
      <c r="G13" s="273"/>
      <c r="H13" s="283"/>
      <c r="I13" s="290"/>
    </row>
    <row r="14" spans="1:11">
      <c r="A14" s="1"/>
      <c r="B14" s="12" t="s">
        <v>625</v>
      </c>
      <c r="C14" s="12" t="s">
        <v>56</v>
      </c>
      <c r="D14" s="266" t="s">
        <v>65</v>
      </c>
      <c r="E14" s="12" t="s">
        <v>58</v>
      </c>
      <c r="F14" s="265" t="s">
        <v>59</v>
      </c>
      <c r="G14" s="282" t="s">
        <v>60</v>
      </c>
      <c r="H14" s="288" t="s">
        <v>67</v>
      </c>
      <c r="I14" s="293" t="s">
        <v>66</v>
      </c>
      <c r="J14" s="264" t="s">
        <v>23</v>
      </c>
    </row>
    <row r="15" spans="1:11">
      <c r="A15" s="1"/>
      <c r="B15" s="65" t="e" cm="1">
        <f t="array" ref="B15">_xlfn.IFS(
   NOT(ISERROR(SEARCH("MT-LI", C15))), "Luminaria Industrial",
   NOT(ISERROR(SEARCH("MT-EE", C15))), "Equipo Especial",
   NOT(ISERROR(SEARCH("MT-TE", C15))), "Tableros Eléctricos",
   NOT(ISERROR(SEARCH("MT-BPR", C15))), "Prefabricados",
   NOT(ISERROR(SEARCH("MT-ED", C15))), "Material Eléctrico Diverso"
)</f>
        <v>#N/A</v>
      </c>
      <c r="C15" s="1" t="str" cm="1">
        <f t="array" ref="C15:J19">_xlfn.LET(_xlpm._Código,Ref_NeoData[Código],_xlpm._Descripción,Ref_NeoData[Concepto],_xlpm._Unidad,Ref_NeoData[Unidad],_xlfn._xlws.FILTER(Ref_NeoData[],ISNUMBER(SEARCH(C11,_xlfn.IFS(E_RESUMEN_MAT!D11=1,_xlpm._Código,E_RESUMEN_MAT!D11=2,_xlpm._Descripción,E_RESUMEN_MAT!D11=3,_xlpm._Unidad))),""))</f>
        <v>MO-AYU002</v>
      </c>
      <c r="D15" s="10" t="str">
        <v>Ayudante eléctrico</v>
      </c>
      <c r="E15" s="270" t="str">
        <v>JOR</v>
      </c>
      <c r="F15" s="267">
        <v>45183.514130011572</v>
      </c>
      <c r="G15" s="273">
        <v>666.02745368000001</v>
      </c>
      <c r="H15" s="283">
        <v>540</v>
      </c>
      <c r="I15" s="290">
        <v>359654.82</v>
      </c>
      <c r="J15" s="263">
        <v>5.0564366617925398E-2</v>
      </c>
    </row>
    <row r="16" spans="1:11">
      <c r="A16" s="1"/>
      <c r="B16" s="65"/>
      <c r="C16" s="63" t="str">
        <v>MO-01</v>
      </c>
      <c r="D16" s="10" t="str">
        <v>Ayudante Especializado</v>
      </c>
      <c r="E16" s="270" t="str">
        <v>JOR</v>
      </c>
      <c r="F16" s="267">
        <v>45068.517066319444</v>
      </c>
      <c r="G16" s="273">
        <v>4.7619050000000003E-2</v>
      </c>
      <c r="H16" s="283">
        <v>583.34</v>
      </c>
      <c r="I16" s="290">
        <v>27.78</v>
      </c>
      <c r="J16" s="263">
        <v>3.9056284707819796E-6</v>
      </c>
    </row>
    <row r="17" spans="1:10">
      <c r="A17" s="1"/>
      <c r="B17" s="65"/>
      <c r="C17" s="63" t="str">
        <v>MO-CABO01</v>
      </c>
      <c r="D17" s="10" t="str">
        <v>Cabo de Oficios</v>
      </c>
      <c r="E17" s="270" t="str">
        <v>%M.O.</v>
      </c>
      <c r="F17" s="267">
        <v>45136.736109837962</v>
      </c>
      <c r="G17" s="273">
        <v>85035.18</v>
      </c>
      <c r="H17" s="283">
        <v>1</v>
      </c>
      <c r="I17" s="290">
        <v>85035.18</v>
      </c>
      <c r="J17" s="263">
        <v>1.19552131038902E-2</v>
      </c>
    </row>
    <row r="18" spans="1:10">
      <c r="A18" s="1"/>
      <c r="B18" s="65"/>
      <c r="C18" s="63" t="str">
        <v>MO-OFEL001</v>
      </c>
      <c r="D18" s="10" t="str">
        <v>Oficial eléctrico</v>
      </c>
      <c r="E18" s="270" t="str">
        <v>JOR</v>
      </c>
      <c r="F18" s="267">
        <v>45183.513965821759</v>
      </c>
      <c r="G18" s="273">
        <v>666.02745368000001</v>
      </c>
      <c r="H18" s="283">
        <v>732.85</v>
      </c>
      <c r="I18" s="290">
        <v>488098.22</v>
      </c>
      <c r="J18" s="263">
        <v>6.8622401172426406E-2</v>
      </c>
    </row>
    <row r="19" spans="1:10">
      <c r="A19" s="1"/>
      <c r="B19" s="65"/>
      <c r="C19" s="63" t="str">
        <v>MO-02</v>
      </c>
      <c r="D19" s="10" t="str">
        <v>Oficial Eléctrico de Primera</v>
      </c>
      <c r="E19" s="270" t="str">
        <v>JOR</v>
      </c>
      <c r="F19" s="267">
        <v>45068.51706878472</v>
      </c>
      <c r="G19" s="273">
        <v>4.7619050000000003E-2</v>
      </c>
      <c r="H19" s="283">
        <v>816.66</v>
      </c>
      <c r="I19" s="290">
        <v>38.89</v>
      </c>
      <c r="J19" s="263">
        <v>5.4675986763394898E-6</v>
      </c>
    </row>
    <row r="20" spans="1:10">
      <c r="A20" s="1"/>
      <c r="B20" s="65"/>
      <c r="C20" s="63"/>
      <c r="D20" s="10"/>
      <c r="E20" s="270"/>
      <c r="F20" s="267"/>
      <c r="G20" s="273"/>
      <c r="H20" s="283"/>
      <c r="I20" s="290"/>
      <c r="J20" s="263"/>
    </row>
    <row r="21" spans="1:10">
      <c r="A21" s="1"/>
      <c r="B21" s="65"/>
      <c r="C21" s="63"/>
      <c r="D21" s="10"/>
      <c r="E21" s="270"/>
      <c r="F21" s="267"/>
      <c r="G21" s="273"/>
      <c r="H21" s="283"/>
      <c r="I21" s="290"/>
      <c r="J21" s="263"/>
    </row>
    <row r="22" spans="1:10">
      <c r="A22" s="1"/>
      <c r="B22" s="65"/>
      <c r="C22" s="63"/>
      <c r="D22" s="10"/>
      <c r="E22" s="270"/>
      <c r="F22" s="267"/>
      <c r="G22" s="273"/>
      <c r="H22" s="283"/>
      <c r="I22" s="290"/>
      <c r="J22" s="263"/>
    </row>
    <row r="23" spans="1:10">
      <c r="A23" s="1"/>
      <c r="B23" s="65"/>
      <c r="C23" s="63"/>
      <c r="D23" s="10"/>
      <c r="E23" s="270"/>
      <c r="F23" s="267"/>
      <c r="G23" s="273"/>
      <c r="H23" s="283"/>
      <c r="I23" s="290"/>
      <c r="J23" s="263"/>
    </row>
    <row r="24" spans="1:10">
      <c r="A24" s="1"/>
      <c r="B24" s="65"/>
      <c r="C24" s="63"/>
      <c r="D24" s="10"/>
      <c r="E24" s="270"/>
      <c r="F24" s="267"/>
      <c r="G24" s="273"/>
      <c r="H24" s="283"/>
      <c r="I24" s="290"/>
      <c r="J24" s="263"/>
    </row>
    <row r="25" spans="1:10">
      <c r="A25" s="1"/>
      <c r="B25" s="65"/>
      <c r="C25" s="63"/>
      <c r="D25" s="10"/>
      <c r="E25" s="270"/>
      <c r="F25" s="267"/>
      <c r="G25" s="273"/>
      <c r="H25" s="283"/>
      <c r="I25" s="290"/>
      <c r="J25" s="263"/>
    </row>
    <row r="26" spans="1:10">
      <c r="A26" s="1"/>
      <c r="B26" s="65"/>
      <c r="C26" s="63"/>
      <c r="D26" s="10"/>
      <c r="E26" s="270"/>
      <c r="F26" s="267"/>
      <c r="G26" s="273"/>
      <c r="H26" s="283"/>
      <c r="I26" s="290"/>
      <c r="J26" s="263"/>
    </row>
    <row r="27" spans="1:10">
      <c r="A27" s="1"/>
      <c r="B27" s="65"/>
      <c r="C27" s="63"/>
      <c r="D27" s="10"/>
      <c r="E27" s="270"/>
      <c r="F27" s="267"/>
      <c r="G27" s="273"/>
      <c r="H27" s="283"/>
      <c r="I27" s="290"/>
      <c r="J27" s="263"/>
    </row>
    <row r="28" spans="1:10">
      <c r="A28" s="1"/>
      <c r="B28" s="65"/>
      <c r="C28" s="63"/>
      <c r="D28" s="10"/>
      <c r="E28" s="270"/>
      <c r="F28" s="267"/>
      <c r="G28" s="273"/>
      <c r="H28" s="283"/>
      <c r="I28" s="290"/>
      <c r="J28" s="263"/>
    </row>
    <row r="29" spans="1:10">
      <c r="A29" s="1"/>
      <c r="B29" s="65"/>
      <c r="C29" s="63"/>
      <c r="D29" s="10"/>
      <c r="E29" s="270"/>
      <c r="F29" s="267"/>
      <c r="G29" s="273"/>
      <c r="H29" s="283"/>
      <c r="I29" s="290"/>
      <c r="J29" s="263"/>
    </row>
    <row r="30" spans="1:10">
      <c r="A30" s="1"/>
      <c r="B30" s="65"/>
      <c r="C30" s="63"/>
      <c r="D30" s="10"/>
      <c r="E30" s="270"/>
      <c r="F30" s="267"/>
      <c r="G30" s="273"/>
      <c r="H30" s="283"/>
      <c r="I30" s="290"/>
      <c r="J30" s="263"/>
    </row>
    <row r="31" spans="1:10">
      <c r="A31" s="1"/>
      <c r="B31" s="65"/>
      <c r="C31" s="63"/>
      <c r="D31" s="10"/>
      <c r="E31" s="270"/>
      <c r="F31" s="267"/>
      <c r="G31" s="273"/>
      <c r="H31" s="283"/>
      <c r="I31" s="290"/>
      <c r="J31" s="263"/>
    </row>
    <row r="32" spans="1:10">
      <c r="A32" s="1"/>
      <c r="B32" s="65"/>
      <c r="C32" s="63"/>
      <c r="D32" s="10"/>
      <c r="E32" s="270"/>
      <c r="F32" s="267"/>
      <c r="G32" s="273"/>
      <c r="H32" s="283"/>
      <c r="I32" s="290"/>
      <c r="J32" s="263"/>
    </row>
    <row r="33" spans="1:10">
      <c r="A33" s="1"/>
      <c r="B33" s="65"/>
      <c r="C33" s="63"/>
      <c r="D33" s="10"/>
      <c r="E33" s="270"/>
      <c r="F33" s="267"/>
      <c r="G33" s="273"/>
      <c r="H33" s="283"/>
      <c r="I33" s="290"/>
      <c r="J33" s="263"/>
    </row>
    <row r="34" spans="1:10">
      <c r="A34" s="1"/>
      <c r="B34" s="65"/>
      <c r="C34" s="63"/>
      <c r="D34" s="10"/>
      <c r="E34" s="270"/>
      <c r="F34" s="267"/>
      <c r="G34" s="273"/>
      <c r="H34" s="283"/>
      <c r="I34" s="290"/>
      <c r="J34" s="263"/>
    </row>
    <row r="35" spans="1:10">
      <c r="A35" s="1"/>
      <c r="B35" s="65"/>
      <c r="C35" s="63"/>
      <c r="D35" s="10"/>
      <c r="E35" s="270"/>
      <c r="F35" s="267"/>
      <c r="G35" s="273"/>
      <c r="H35" s="283"/>
      <c r="I35" s="290"/>
      <c r="J35" s="263"/>
    </row>
    <row r="36" spans="1:10">
      <c r="A36" s="1"/>
      <c r="B36" s="65"/>
      <c r="C36" s="63"/>
      <c r="D36" s="10"/>
      <c r="E36" s="270"/>
      <c r="F36" s="267"/>
      <c r="G36" s="273"/>
      <c r="H36" s="283"/>
      <c r="I36" s="290"/>
      <c r="J36" s="263"/>
    </row>
    <row r="37" spans="1:10">
      <c r="A37" s="1"/>
      <c r="B37" s="65"/>
      <c r="C37" s="63"/>
      <c r="D37" s="10"/>
      <c r="E37" s="270"/>
      <c r="F37" s="267"/>
      <c r="G37" s="273"/>
      <c r="H37" s="283"/>
      <c r="I37" s="290"/>
      <c r="J37" s="263"/>
    </row>
    <row r="38" spans="1:10">
      <c r="A38" s="1"/>
      <c r="B38" s="65"/>
      <c r="C38" s="63"/>
      <c r="D38" s="10"/>
      <c r="E38" s="270"/>
      <c r="F38" s="267"/>
      <c r="G38" s="273"/>
      <c r="H38" s="283"/>
      <c r="I38" s="290"/>
      <c r="J38" s="263"/>
    </row>
    <row r="39" spans="1:10">
      <c r="A39" s="1"/>
      <c r="B39" s="65"/>
      <c r="C39" s="63"/>
      <c r="D39" s="10"/>
      <c r="E39" s="270"/>
      <c r="F39" s="267"/>
      <c r="G39" s="273"/>
      <c r="H39" s="283"/>
      <c r="I39" s="290"/>
      <c r="J39" s="263"/>
    </row>
    <row r="40" spans="1:10">
      <c r="A40" s="1"/>
      <c r="B40" s="65"/>
      <c r="C40" s="63"/>
      <c r="D40" s="10"/>
      <c r="E40" s="270"/>
      <c r="F40" s="267"/>
      <c r="G40" s="273"/>
      <c r="H40" s="283"/>
      <c r="I40" s="290"/>
      <c r="J40" s="263"/>
    </row>
    <row r="41" spans="1:10">
      <c r="A41" s="1"/>
      <c r="B41" s="65"/>
      <c r="C41" s="63"/>
      <c r="D41" s="10"/>
      <c r="E41" s="270"/>
      <c r="F41" s="267"/>
      <c r="G41" s="273"/>
      <c r="H41" s="283"/>
      <c r="I41" s="290"/>
      <c r="J41" s="263"/>
    </row>
    <row r="42" spans="1:10">
      <c r="A42" s="1"/>
      <c r="B42" s="65"/>
      <c r="C42" s="63"/>
      <c r="D42" s="10"/>
      <c r="E42" s="270"/>
      <c r="F42" s="267"/>
      <c r="G42" s="273"/>
      <c r="H42" s="283"/>
      <c r="I42" s="290"/>
      <c r="J42" s="263"/>
    </row>
    <row r="43" spans="1:10">
      <c r="A43" s="1"/>
      <c r="B43" s="65"/>
      <c r="C43" s="63"/>
      <c r="D43" s="10"/>
      <c r="E43" s="270"/>
      <c r="F43" s="267"/>
      <c r="G43" s="273"/>
      <c r="H43" s="283"/>
      <c r="I43" s="290"/>
      <c r="J43" s="263"/>
    </row>
    <row r="44" spans="1:10">
      <c r="A44" s="1"/>
      <c r="B44" s="65"/>
      <c r="C44" s="63"/>
      <c r="D44" s="10"/>
      <c r="E44" s="270"/>
      <c r="F44" s="267"/>
      <c r="G44" s="273"/>
      <c r="H44" s="283"/>
      <c r="I44" s="290"/>
      <c r="J44" s="263"/>
    </row>
    <row r="45" spans="1:10">
      <c r="A45" s="1"/>
      <c r="B45" s="65"/>
      <c r="C45" s="63"/>
      <c r="D45" s="10"/>
      <c r="E45" s="270"/>
      <c r="F45" s="267"/>
      <c r="G45" s="273"/>
      <c r="H45" s="283"/>
      <c r="I45" s="290"/>
      <c r="J45" s="263"/>
    </row>
    <row r="46" spans="1:10">
      <c r="A46" s="1"/>
      <c r="B46" s="65"/>
      <c r="C46" s="63"/>
      <c r="D46" s="10"/>
      <c r="E46" s="270"/>
      <c r="F46" s="267"/>
      <c r="G46" s="273"/>
      <c r="H46" s="283"/>
      <c r="I46" s="290"/>
      <c r="J46" s="263"/>
    </row>
    <row r="47" spans="1:10">
      <c r="A47" s="1"/>
      <c r="B47" s="65"/>
      <c r="C47" s="63"/>
      <c r="D47" s="10"/>
      <c r="E47" s="270"/>
      <c r="F47" s="267"/>
      <c r="G47" s="273"/>
      <c r="H47" s="283"/>
      <c r="I47" s="290"/>
      <c r="J47" s="263"/>
    </row>
    <row r="48" spans="1:10">
      <c r="A48" s="1"/>
      <c r="B48" s="65"/>
      <c r="C48" s="63"/>
      <c r="D48" s="10"/>
      <c r="E48" s="270"/>
      <c r="F48" s="267"/>
      <c r="G48" s="273"/>
      <c r="H48" s="283"/>
      <c r="I48" s="290"/>
      <c r="J48" s="263"/>
    </row>
    <row r="49" spans="1:10">
      <c r="A49" s="1"/>
      <c r="B49" s="65"/>
      <c r="C49" s="63"/>
      <c r="D49" s="10"/>
      <c r="E49" s="270"/>
      <c r="F49" s="267"/>
      <c r="G49" s="273"/>
      <c r="H49" s="283"/>
      <c r="I49" s="290"/>
      <c r="J49" s="263"/>
    </row>
    <row r="50" spans="1:10">
      <c r="A50" s="1"/>
      <c r="B50" s="65"/>
      <c r="C50" s="63"/>
      <c r="D50" s="10"/>
      <c r="E50" s="270"/>
      <c r="F50" s="267"/>
      <c r="G50" s="273"/>
      <c r="H50" s="283"/>
      <c r="I50" s="290"/>
      <c r="J50" s="263"/>
    </row>
    <row r="51" spans="1:10">
      <c r="A51" s="1"/>
      <c r="B51" s="65"/>
      <c r="C51" s="63"/>
      <c r="D51" s="10"/>
      <c r="E51" s="270"/>
      <c r="F51" s="267"/>
      <c r="G51" s="273"/>
      <c r="H51" s="283"/>
      <c r="I51" s="290"/>
      <c r="J51" s="263"/>
    </row>
    <row r="52" spans="1:10">
      <c r="A52" s="1"/>
      <c r="B52" s="65"/>
      <c r="C52" s="63"/>
      <c r="D52" s="10"/>
      <c r="E52" s="270"/>
      <c r="F52" s="267"/>
      <c r="G52" s="273"/>
      <c r="H52" s="283"/>
      <c r="I52" s="290"/>
      <c r="J52" s="263"/>
    </row>
    <row r="53" spans="1:10">
      <c r="A53" s="1"/>
      <c r="B53" s="65"/>
      <c r="C53" s="63"/>
      <c r="D53" s="10"/>
      <c r="E53" s="270"/>
      <c r="F53" s="267"/>
      <c r="G53" s="273"/>
      <c r="H53" s="283"/>
      <c r="I53" s="290"/>
      <c r="J53" s="263"/>
    </row>
    <row r="54" spans="1:10">
      <c r="A54" s="1"/>
      <c r="B54" s="65"/>
      <c r="C54" s="63"/>
      <c r="D54" s="10"/>
      <c r="E54" s="270"/>
      <c r="F54" s="267"/>
      <c r="G54" s="273"/>
      <c r="H54" s="283"/>
      <c r="I54" s="290"/>
      <c r="J54" s="263"/>
    </row>
    <row r="55" spans="1:10">
      <c r="A55" s="1"/>
      <c r="B55" s="65"/>
      <c r="C55" s="63"/>
      <c r="D55" s="10"/>
      <c r="E55" s="270"/>
      <c r="F55" s="267"/>
      <c r="G55" s="273"/>
      <c r="H55" s="283"/>
      <c r="I55" s="290"/>
      <c r="J55" s="263"/>
    </row>
    <row r="56" spans="1:10">
      <c r="A56" s="1"/>
      <c r="B56" s="65"/>
      <c r="C56" s="63"/>
      <c r="D56" s="10"/>
      <c r="E56" s="270"/>
      <c r="F56" s="267"/>
      <c r="G56" s="273"/>
      <c r="H56" s="283"/>
      <c r="I56" s="290"/>
      <c r="J56" s="263"/>
    </row>
    <row r="57" spans="1:10">
      <c r="A57" s="1"/>
      <c r="B57" s="65"/>
      <c r="C57" s="63"/>
      <c r="D57" s="10"/>
      <c r="E57" s="270"/>
      <c r="F57" s="267"/>
      <c r="G57" s="273"/>
      <c r="H57" s="283"/>
      <c r="I57" s="290"/>
      <c r="J57" s="263"/>
    </row>
    <row r="58" spans="1:10">
      <c r="A58" s="1"/>
      <c r="B58" s="65"/>
      <c r="C58" s="63"/>
      <c r="D58" s="10"/>
      <c r="E58" s="270"/>
      <c r="F58" s="267"/>
      <c r="G58" s="273"/>
      <c r="H58" s="283"/>
      <c r="I58" s="290"/>
      <c r="J58" s="263"/>
    </row>
    <row r="59" spans="1:10">
      <c r="A59" s="1"/>
      <c r="B59" s="65"/>
      <c r="C59" s="63"/>
      <c r="D59" s="10"/>
      <c r="E59" s="270"/>
      <c r="F59" s="267"/>
      <c r="G59" s="273"/>
      <c r="H59" s="283"/>
      <c r="I59" s="290"/>
      <c r="J59" s="263"/>
    </row>
    <row r="60" spans="1:10">
      <c r="A60" s="1"/>
      <c r="B60" s="65"/>
      <c r="C60" s="63"/>
      <c r="D60" s="10"/>
      <c r="E60" s="270"/>
      <c r="F60" s="267"/>
      <c r="G60" s="273"/>
      <c r="H60" s="283"/>
      <c r="I60" s="290"/>
      <c r="J60" s="263"/>
    </row>
    <row r="61" spans="1:10">
      <c r="A61" s="1"/>
      <c r="B61" s="65"/>
      <c r="C61" s="63"/>
      <c r="D61" s="10"/>
      <c r="E61" s="270"/>
      <c r="F61" s="267"/>
      <c r="G61" s="273"/>
      <c r="H61" s="283"/>
      <c r="I61" s="290"/>
      <c r="J61" s="263"/>
    </row>
    <row r="62" spans="1:10">
      <c r="A62" s="1"/>
      <c r="B62" s="65"/>
      <c r="C62" s="63"/>
      <c r="D62" s="10"/>
      <c r="E62" s="270"/>
      <c r="F62" s="267"/>
      <c r="G62" s="273"/>
      <c r="H62" s="283"/>
      <c r="I62" s="290"/>
      <c r="J62" s="263"/>
    </row>
    <row r="63" spans="1:10">
      <c r="A63" s="1"/>
      <c r="B63" s="65"/>
      <c r="C63" s="63"/>
      <c r="D63" s="10"/>
      <c r="E63" s="270"/>
      <c r="F63" s="267"/>
      <c r="G63" s="273"/>
      <c r="H63" s="283"/>
      <c r="I63" s="290"/>
      <c r="J63" s="263"/>
    </row>
    <row r="64" spans="1:10">
      <c r="A64" s="1"/>
      <c r="B64" s="65"/>
      <c r="C64" s="63"/>
      <c r="D64" s="10"/>
      <c r="E64" s="270"/>
      <c r="F64" s="267"/>
      <c r="G64" s="273"/>
      <c r="H64" s="283"/>
      <c r="I64" s="290"/>
      <c r="J64" s="263"/>
    </row>
    <row r="65" spans="1:10">
      <c r="A65" s="1"/>
      <c r="B65" s="65"/>
      <c r="C65" s="63"/>
      <c r="D65" s="10"/>
      <c r="E65" s="270"/>
      <c r="F65" s="267"/>
      <c r="G65" s="273"/>
      <c r="H65" s="283"/>
      <c r="I65" s="290"/>
      <c r="J65" s="263"/>
    </row>
    <row r="66" spans="1:10">
      <c r="A66" s="1"/>
      <c r="B66" s="65"/>
      <c r="C66" s="63"/>
      <c r="D66" s="10"/>
      <c r="E66" s="270"/>
      <c r="F66" s="267"/>
      <c r="G66" s="273"/>
      <c r="H66" s="283"/>
      <c r="I66" s="290"/>
      <c r="J66" s="263"/>
    </row>
    <row r="67" spans="1:10">
      <c r="A67" s="1"/>
      <c r="B67" s="65"/>
      <c r="C67" s="63"/>
      <c r="D67" s="10"/>
      <c r="E67" s="270"/>
      <c r="F67" s="267"/>
      <c r="G67" s="273"/>
      <c r="H67" s="283"/>
      <c r="I67" s="290"/>
      <c r="J67" s="263"/>
    </row>
    <row r="68" spans="1:10">
      <c r="A68" s="1"/>
      <c r="B68" s="65"/>
      <c r="C68" s="63"/>
      <c r="D68" s="10"/>
      <c r="E68" s="270"/>
      <c r="F68" s="267"/>
      <c r="G68" s="273"/>
      <c r="H68" s="283"/>
      <c r="I68" s="290"/>
      <c r="J68" s="263"/>
    </row>
    <row r="69" spans="1:10">
      <c r="A69" s="1"/>
      <c r="B69" s="65"/>
      <c r="C69" s="63"/>
      <c r="D69" s="10"/>
      <c r="E69" s="270"/>
      <c r="F69" s="267"/>
      <c r="G69" s="273"/>
      <c r="H69" s="283"/>
      <c r="I69" s="290"/>
      <c r="J69" s="263"/>
    </row>
    <row r="70" spans="1:10">
      <c r="A70" s="1"/>
      <c r="B70" s="65"/>
      <c r="C70" s="63"/>
      <c r="D70" s="10"/>
      <c r="E70" s="270"/>
      <c r="F70" s="267"/>
      <c r="G70" s="273"/>
      <c r="H70" s="283"/>
      <c r="I70" s="290"/>
      <c r="J70" s="263"/>
    </row>
    <row r="71" spans="1:10">
      <c r="A71" s="1"/>
      <c r="B71" s="65"/>
      <c r="C71" s="63"/>
      <c r="D71" s="10"/>
      <c r="E71" s="270"/>
      <c r="F71" s="267"/>
      <c r="G71" s="273"/>
      <c r="H71" s="283"/>
      <c r="I71" s="290"/>
      <c r="J71" s="263"/>
    </row>
    <row r="72" spans="1:10">
      <c r="A72" s="1"/>
      <c r="B72" s="65"/>
      <c r="C72" s="63"/>
      <c r="D72" s="10"/>
      <c r="E72" s="270"/>
      <c r="F72" s="267"/>
      <c r="G72" s="273"/>
      <c r="H72" s="283"/>
      <c r="I72" s="290"/>
      <c r="J72" s="263"/>
    </row>
    <row r="73" spans="1:10">
      <c r="A73" s="1"/>
      <c r="B73" s="65"/>
      <c r="C73" s="63"/>
      <c r="D73" s="10"/>
      <c r="E73" s="270"/>
      <c r="F73" s="267"/>
      <c r="G73" s="273"/>
      <c r="H73" s="283"/>
      <c r="I73" s="290"/>
      <c r="J73" s="263"/>
    </row>
    <row r="74" spans="1:10">
      <c r="A74" s="1"/>
      <c r="B74" s="65"/>
      <c r="C74" s="63"/>
      <c r="D74" s="10"/>
      <c r="E74" s="270"/>
      <c r="F74" s="267"/>
      <c r="G74" s="273"/>
      <c r="H74" s="283"/>
      <c r="I74" s="290"/>
      <c r="J74" s="263"/>
    </row>
    <row r="75" spans="1:10">
      <c r="A75" s="1"/>
      <c r="B75" s="65"/>
      <c r="C75" s="63"/>
      <c r="D75" s="10"/>
      <c r="E75" s="270"/>
      <c r="F75" s="267"/>
      <c r="G75" s="273"/>
      <c r="H75" s="283"/>
      <c r="I75" s="290"/>
      <c r="J75" s="263"/>
    </row>
    <row r="76" spans="1:10">
      <c r="A76" s="1"/>
      <c r="B76" s="65"/>
      <c r="C76" s="63"/>
      <c r="D76" s="10"/>
      <c r="E76" s="270"/>
      <c r="F76" s="267"/>
      <c r="G76" s="273"/>
      <c r="H76" s="283"/>
      <c r="I76" s="290"/>
      <c r="J76" s="263"/>
    </row>
    <row r="77" spans="1:10">
      <c r="A77" s="1"/>
      <c r="B77" s="65"/>
      <c r="C77" s="63"/>
      <c r="D77" s="10"/>
      <c r="E77" s="270"/>
      <c r="F77" s="267"/>
      <c r="G77" s="273"/>
      <c r="H77" s="283"/>
      <c r="I77" s="290"/>
      <c r="J77" s="263"/>
    </row>
    <row r="78" spans="1:10">
      <c r="A78" s="1"/>
      <c r="B78" s="65"/>
      <c r="C78" s="63"/>
      <c r="D78" s="10"/>
      <c r="E78" s="270"/>
      <c r="F78" s="267"/>
      <c r="G78" s="273"/>
      <c r="H78" s="283"/>
      <c r="I78" s="290"/>
      <c r="J78" s="263"/>
    </row>
    <row r="79" spans="1:10">
      <c r="A79" s="1"/>
      <c r="B79" s="65"/>
      <c r="C79" s="63"/>
      <c r="D79" s="10"/>
      <c r="E79" s="270"/>
      <c r="F79" s="267"/>
      <c r="G79" s="273"/>
      <c r="H79" s="283"/>
      <c r="I79" s="290"/>
      <c r="J79" s="263"/>
    </row>
    <row r="80" spans="1:10">
      <c r="A80" s="1"/>
      <c r="B80" s="65"/>
      <c r="C80" s="63"/>
      <c r="D80" s="10"/>
      <c r="E80" s="270"/>
      <c r="F80" s="267"/>
      <c r="G80" s="273"/>
      <c r="H80" s="283"/>
      <c r="I80" s="290"/>
      <c r="J80" s="263"/>
    </row>
    <row r="81" spans="1:10">
      <c r="A81" s="1"/>
      <c r="B81" s="65"/>
      <c r="C81" s="63"/>
      <c r="D81" s="10"/>
      <c r="E81" s="270"/>
      <c r="F81" s="267"/>
      <c r="G81" s="273"/>
      <c r="H81" s="283"/>
      <c r="I81" s="290"/>
      <c r="J81" s="263"/>
    </row>
    <row r="82" spans="1:10">
      <c r="A82" s="1"/>
      <c r="B82" s="65"/>
      <c r="C82" s="63"/>
      <c r="D82" s="10"/>
      <c r="E82" s="270"/>
      <c r="F82" s="267"/>
      <c r="G82" s="273"/>
      <c r="H82" s="283"/>
      <c r="I82" s="290"/>
      <c r="J82" s="263"/>
    </row>
    <row r="83" spans="1:10">
      <c r="A83" s="1"/>
      <c r="B83" s="65"/>
      <c r="C83" s="63"/>
      <c r="D83" s="10"/>
      <c r="E83" s="270"/>
      <c r="F83" s="267"/>
      <c r="G83" s="273"/>
      <c r="H83" s="283"/>
      <c r="I83" s="290"/>
      <c r="J83" s="263"/>
    </row>
    <row r="84" spans="1:10">
      <c r="A84" s="1"/>
      <c r="B84" s="65"/>
      <c r="C84" s="63"/>
      <c r="D84" s="10"/>
      <c r="E84" s="270"/>
      <c r="F84" s="267"/>
      <c r="G84" s="273"/>
      <c r="H84" s="283"/>
      <c r="I84" s="290"/>
      <c r="J84" s="263"/>
    </row>
    <row r="85" spans="1:10">
      <c r="A85" s="1"/>
      <c r="B85" s="65"/>
      <c r="C85" s="63"/>
      <c r="D85" s="10"/>
      <c r="E85" s="270"/>
      <c r="F85" s="267"/>
      <c r="G85" s="273"/>
      <c r="H85" s="283"/>
      <c r="I85" s="290"/>
      <c r="J85" s="263"/>
    </row>
    <row r="86" spans="1:10">
      <c r="A86" s="1"/>
      <c r="B86" s="65"/>
      <c r="C86" s="63"/>
      <c r="D86" s="10"/>
      <c r="E86" s="270"/>
      <c r="F86" s="267"/>
      <c r="G86" s="273"/>
      <c r="H86" s="283"/>
      <c r="I86" s="290"/>
      <c r="J86" s="263"/>
    </row>
    <row r="87" spans="1:10">
      <c r="A87" s="1"/>
      <c r="B87" s="65"/>
      <c r="C87" s="63"/>
      <c r="D87" s="10"/>
      <c r="E87" s="270"/>
      <c r="F87" s="267"/>
      <c r="G87" s="273"/>
      <c r="H87" s="283"/>
      <c r="I87" s="290"/>
      <c r="J87" s="263"/>
    </row>
    <row r="88" spans="1:10">
      <c r="A88" s="1"/>
      <c r="B88" s="65"/>
      <c r="C88" s="63"/>
      <c r="D88" s="10"/>
      <c r="E88" s="270"/>
      <c r="F88" s="267"/>
      <c r="G88" s="273"/>
      <c r="H88" s="283"/>
      <c r="I88" s="290"/>
      <c r="J88" s="263"/>
    </row>
    <row r="89" spans="1:10">
      <c r="A89" s="1"/>
      <c r="B89" s="65"/>
      <c r="C89" s="63"/>
      <c r="D89" s="10"/>
      <c r="E89" s="270"/>
      <c r="F89" s="267"/>
      <c r="G89" s="273"/>
      <c r="H89" s="283"/>
      <c r="I89" s="290"/>
      <c r="J89" s="263"/>
    </row>
    <row r="90" spans="1:10">
      <c r="A90" s="1"/>
      <c r="B90" s="65"/>
      <c r="C90" s="63"/>
      <c r="D90" s="10"/>
      <c r="E90" s="270"/>
      <c r="F90" s="267"/>
      <c r="G90" s="273"/>
      <c r="H90" s="283"/>
      <c r="I90" s="290"/>
      <c r="J90" s="263"/>
    </row>
    <row r="91" spans="1:10">
      <c r="A91" s="1"/>
      <c r="B91" s="65"/>
      <c r="C91" s="63"/>
      <c r="D91" s="10"/>
      <c r="E91" s="270"/>
      <c r="F91" s="267"/>
      <c r="G91" s="273"/>
      <c r="H91" s="283"/>
      <c r="I91" s="290"/>
      <c r="J91" s="263"/>
    </row>
    <row r="92" spans="1:10">
      <c r="A92" s="1"/>
      <c r="B92" s="65"/>
      <c r="C92" s="63"/>
      <c r="D92" s="10"/>
      <c r="E92" s="270"/>
      <c r="F92" s="267"/>
      <c r="G92" s="273"/>
      <c r="H92" s="283"/>
      <c r="I92" s="290"/>
      <c r="J92" s="263"/>
    </row>
    <row r="93" spans="1:10">
      <c r="A93" s="1"/>
      <c r="B93" s="65"/>
      <c r="C93" s="63"/>
      <c r="D93" s="10"/>
      <c r="E93" s="270"/>
      <c r="F93" s="267"/>
      <c r="G93" s="273"/>
      <c r="H93" s="283"/>
      <c r="I93" s="290"/>
      <c r="J93" s="263"/>
    </row>
    <row r="94" spans="1:10">
      <c r="A94" s="1"/>
      <c r="B94" s="65"/>
      <c r="C94" s="63"/>
      <c r="D94" s="10"/>
      <c r="E94" s="270"/>
      <c r="F94" s="267"/>
      <c r="G94" s="273"/>
      <c r="H94" s="283"/>
      <c r="I94" s="290"/>
      <c r="J94" s="263"/>
    </row>
    <row r="95" spans="1:10">
      <c r="A95" s="1"/>
      <c r="B95" s="65"/>
      <c r="C95" s="63"/>
      <c r="D95" s="10"/>
      <c r="E95" s="270"/>
      <c r="F95" s="267"/>
      <c r="G95" s="273"/>
      <c r="H95" s="283"/>
      <c r="I95" s="290"/>
      <c r="J95" s="263"/>
    </row>
    <row r="96" spans="1:10">
      <c r="A96" s="1"/>
      <c r="B96" s="65"/>
      <c r="C96" s="63"/>
      <c r="D96" s="10"/>
      <c r="E96" s="270"/>
      <c r="F96" s="267"/>
      <c r="G96" s="273"/>
      <c r="H96" s="283"/>
      <c r="I96" s="290"/>
      <c r="J96" s="263"/>
    </row>
    <row r="97" spans="1:10">
      <c r="A97" s="1"/>
      <c r="B97" s="65"/>
      <c r="C97" s="63"/>
      <c r="D97" s="10"/>
      <c r="E97" s="270"/>
      <c r="F97" s="267"/>
      <c r="G97" s="273"/>
      <c r="H97" s="283"/>
      <c r="I97" s="290"/>
      <c r="J97" s="263"/>
    </row>
    <row r="98" spans="1:10">
      <c r="A98" s="1"/>
      <c r="B98" s="65"/>
      <c r="C98" s="63"/>
      <c r="D98" s="10"/>
      <c r="E98" s="270"/>
      <c r="F98" s="267"/>
      <c r="G98" s="273"/>
      <c r="H98" s="283"/>
      <c r="I98" s="290"/>
      <c r="J98" s="263"/>
    </row>
    <row r="99" spans="1:10">
      <c r="A99" s="1"/>
      <c r="B99" s="65"/>
      <c r="C99" s="63"/>
      <c r="D99" s="10"/>
      <c r="E99" s="270"/>
      <c r="F99" s="267"/>
      <c r="G99" s="273"/>
      <c r="H99" s="283"/>
      <c r="I99" s="290"/>
      <c r="J99" s="263"/>
    </row>
    <row r="100" spans="1:10">
      <c r="A100" s="1"/>
      <c r="B100" s="65"/>
      <c r="C100" s="63"/>
      <c r="D100" s="10"/>
      <c r="E100" s="270"/>
      <c r="F100" s="267"/>
      <c r="G100" s="273"/>
      <c r="H100" s="283"/>
      <c r="I100" s="290"/>
      <c r="J100" s="263"/>
    </row>
    <row r="101" spans="1:10">
      <c r="A101" s="1"/>
      <c r="B101" s="65"/>
      <c r="C101" s="63"/>
      <c r="D101" s="10"/>
      <c r="E101" s="270"/>
      <c r="F101" s="267"/>
      <c r="G101" s="273"/>
      <c r="H101" s="283"/>
      <c r="I101" s="290"/>
      <c r="J101" s="263"/>
    </row>
    <row r="102" spans="1:10">
      <c r="A102" s="1"/>
      <c r="B102" s="65"/>
      <c r="C102" s="63"/>
      <c r="D102" s="10"/>
      <c r="E102" s="270"/>
      <c r="F102" s="267"/>
      <c r="G102" s="273"/>
      <c r="H102" s="283"/>
      <c r="I102" s="290"/>
      <c r="J102" s="263"/>
    </row>
    <row r="103" spans="1:10">
      <c r="A103" s="1"/>
      <c r="B103" s="65"/>
      <c r="C103" s="63"/>
      <c r="D103" s="10"/>
      <c r="E103" s="270"/>
      <c r="F103" s="267"/>
      <c r="G103" s="273"/>
      <c r="H103" s="283"/>
      <c r="I103" s="290"/>
      <c r="J103" s="263"/>
    </row>
    <row r="104" spans="1:10">
      <c r="A104" s="1"/>
      <c r="B104" s="65"/>
      <c r="C104" s="63"/>
      <c r="D104" s="10"/>
      <c r="E104" s="270"/>
      <c r="F104" s="267"/>
      <c r="G104" s="273"/>
      <c r="H104" s="283"/>
      <c r="I104" s="290"/>
      <c r="J104" s="263"/>
    </row>
    <row r="105" spans="1:10">
      <c r="A105" s="1"/>
      <c r="B105" s="65"/>
      <c r="C105" s="63"/>
      <c r="D105" s="10"/>
      <c r="E105" s="270"/>
      <c r="F105" s="267"/>
      <c r="G105" s="273"/>
      <c r="H105" s="283"/>
      <c r="I105" s="290"/>
      <c r="J105" s="263"/>
    </row>
    <row r="106" spans="1:10">
      <c r="A106" s="1"/>
      <c r="B106" s="65"/>
      <c r="C106" s="63"/>
      <c r="D106" s="10"/>
      <c r="E106" s="270"/>
      <c r="F106" s="267"/>
      <c r="G106" s="273"/>
      <c r="H106" s="283"/>
      <c r="I106" s="290"/>
      <c r="J106" s="263"/>
    </row>
    <row r="107" spans="1:10">
      <c r="A107" s="1"/>
      <c r="B107" s="65"/>
      <c r="C107" s="63"/>
      <c r="D107" s="10"/>
      <c r="E107" s="270"/>
      <c r="F107" s="267"/>
      <c r="G107" s="273"/>
      <c r="H107" s="283"/>
      <c r="I107" s="290"/>
      <c r="J107" s="263"/>
    </row>
    <row r="108" spans="1:10">
      <c r="A108" s="1"/>
      <c r="B108" s="65"/>
      <c r="C108" s="63"/>
      <c r="D108" s="10"/>
      <c r="E108" s="270"/>
      <c r="F108" s="267"/>
      <c r="G108" s="273"/>
      <c r="H108" s="283"/>
      <c r="I108" s="290"/>
      <c r="J108" s="263"/>
    </row>
    <row r="109" spans="1:10">
      <c r="A109" s="1"/>
      <c r="B109" s="65"/>
      <c r="C109" s="63"/>
      <c r="D109" s="10"/>
      <c r="E109" s="270"/>
      <c r="F109" s="267"/>
      <c r="G109" s="273"/>
      <c r="H109" s="283"/>
      <c r="I109" s="290"/>
      <c r="J109" s="263"/>
    </row>
    <row r="110" spans="1:10">
      <c r="A110" s="1"/>
      <c r="B110" s="65"/>
      <c r="C110" s="63"/>
      <c r="D110" s="10"/>
      <c r="E110" s="270"/>
      <c r="F110" s="267"/>
      <c r="G110" s="273"/>
      <c r="H110" s="283"/>
      <c r="I110" s="290"/>
      <c r="J110" s="263"/>
    </row>
    <row r="111" spans="1:10">
      <c r="A111" s="1"/>
      <c r="B111" s="65"/>
      <c r="C111" s="63"/>
      <c r="D111" s="10"/>
      <c r="E111" s="270"/>
      <c r="F111" s="267"/>
      <c r="G111" s="273"/>
      <c r="H111" s="283"/>
      <c r="I111" s="290"/>
      <c r="J111" s="263"/>
    </row>
    <row r="112" spans="1:10">
      <c r="A112" s="1"/>
      <c r="B112" s="65"/>
      <c r="C112" s="63"/>
      <c r="D112" s="10"/>
      <c r="E112" s="270"/>
      <c r="F112" s="267"/>
      <c r="G112" s="273"/>
      <c r="H112" s="283"/>
      <c r="I112" s="290"/>
      <c r="J112" s="263"/>
    </row>
    <row r="113" spans="1:10">
      <c r="A113" s="1"/>
      <c r="B113" s="65"/>
      <c r="C113" s="63"/>
      <c r="D113" s="10"/>
      <c r="E113" s="270"/>
      <c r="F113" s="267"/>
      <c r="G113" s="273"/>
      <c r="H113" s="283"/>
      <c r="I113" s="290"/>
      <c r="J113" s="263"/>
    </row>
    <row r="114" spans="1:10">
      <c r="A114" s="1"/>
      <c r="B114" s="65"/>
      <c r="C114" s="63"/>
      <c r="D114" s="10"/>
      <c r="E114" s="270"/>
      <c r="F114" s="267"/>
      <c r="G114" s="273"/>
      <c r="H114" s="283"/>
      <c r="I114" s="290"/>
      <c r="J114" s="263"/>
    </row>
    <row r="115" spans="1:10">
      <c r="A115" s="1"/>
      <c r="B115" s="65"/>
      <c r="C115" s="63"/>
      <c r="D115" s="10"/>
      <c r="E115" s="270"/>
      <c r="F115" s="267"/>
      <c r="G115" s="273"/>
      <c r="H115" s="283"/>
      <c r="I115" s="290"/>
      <c r="J115" s="263"/>
    </row>
    <row r="116" spans="1:10">
      <c r="A116" s="1"/>
      <c r="B116" s="65"/>
      <c r="C116" s="63"/>
      <c r="D116" s="10"/>
      <c r="E116" s="270"/>
      <c r="F116" s="267"/>
      <c r="G116" s="273"/>
      <c r="H116" s="283"/>
      <c r="I116" s="290"/>
      <c r="J116" s="263"/>
    </row>
    <row r="117" spans="1:10">
      <c r="A117" s="1"/>
      <c r="B117" s="65"/>
      <c r="C117" s="63"/>
      <c r="D117" s="10"/>
      <c r="E117" s="270"/>
      <c r="F117" s="267"/>
      <c r="G117" s="273"/>
      <c r="H117" s="283"/>
      <c r="I117" s="290"/>
      <c r="J117" s="263"/>
    </row>
    <row r="118" spans="1:10">
      <c r="A118" s="1"/>
      <c r="B118" s="65"/>
      <c r="C118" s="63"/>
      <c r="D118" s="10"/>
      <c r="E118" s="270"/>
      <c r="F118" s="267"/>
      <c r="G118" s="273"/>
      <c r="H118" s="283"/>
      <c r="I118" s="290"/>
      <c r="J118" s="263"/>
    </row>
    <row r="119" spans="1:10">
      <c r="A119" s="1"/>
      <c r="B119" s="65"/>
      <c r="C119" s="63"/>
      <c r="D119" s="10"/>
      <c r="E119" s="270"/>
      <c r="F119" s="267"/>
      <c r="G119" s="273"/>
      <c r="H119" s="283"/>
      <c r="I119" s="290"/>
      <c r="J119" s="263"/>
    </row>
    <row r="120" spans="1:10">
      <c r="A120" s="1"/>
      <c r="B120" s="65"/>
      <c r="C120" s="63"/>
      <c r="D120" s="10"/>
      <c r="E120" s="270"/>
      <c r="F120" s="267"/>
      <c r="G120" s="273"/>
      <c r="H120" s="283"/>
      <c r="I120" s="290"/>
      <c r="J120" s="263"/>
    </row>
    <row r="121" spans="1:10">
      <c r="A121" s="1"/>
      <c r="B121" s="65"/>
      <c r="C121" s="63"/>
      <c r="D121" s="10"/>
      <c r="E121" s="270"/>
      <c r="F121" s="267"/>
      <c r="G121" s="273"/>
      <c r="H121" s="283"/>
      <c r="I121" s="290"/>
      <c r="J121" s="263"/>
    </row>
    <row r="122" spans="1:10">
      <c r="A122" s="1"/>
      <c r="B122" s="65"/>
      <c r="C122" s="63"/>
      <c r="D122" s="10"/>
      <c r="E122" s="270"/>
      <c r="F122" s="267"/>
      <c r="G122" s="273"/>
      <c r="H122" s="283"/>
      <c r="I122" s="290"/>
      <c r="J122" s="263"/>
    </row>
    <row r="123" spans="1:10">
      <c r="A123" s="1"/>
      <c r="B123" s="65"/>
      <c r="C123" s="63"/>
      <c r="D123" s="10"/>
      <c r="E123" s="270"/>
      <c r="F123" s="267"/>
      <c r="G123" s="273"/>
      <c r="H123" s="283"/>
      <c r="I123" s="290"/>
      <c r="J123" s="263"/>
    </row>
    <row r="124" spans="1:10">
      <c r="A124" s="1"/>
      <c r="B124" s="65"/>
      <c r="C124" s="63"/>
      <c r="D124" s="10"/>
      <c r="E124" s="270"/>
      <c r="F124" s="267"/>
      <c r="G124" s="273"/>
      <c r="H124" s="283"/>
      <c r="I124" s="290"/>
      <c r="J124" s="263"/>
    </row>
    <row r="125" spans="1:10">
      <c r="A125" s="1"/>
      <c r="B125" s="65"/>
      <c r="C125" s="63"/>
      <c r="D125" s="10"/>
      <c r="E125" s="270"/>
      <c r="F125" s="267"/>
      <c r="G125" s="273"/>
      <c r="H125" s="283"/>
      <c r="I125" s="290"/>
      <c r="J125" s="263"/>
    </row>
    <row r="126" spans="1:10">
      <c r="A126" s="1"/>
      <c r="B126" s="65"/>
      <c r="C126" s="63"/>
      <c r="D126" s="10"/>
      <c r="E126" s="270"/>
      <c r="F126" s="267"/>
      <c r="G126" s="273"/>
      <c r="H126" s="283"/>
      <c r="I126" s="290"/>
      <c r="J126" s="263"/>
    </row>
    <row r="127" spans="1:10">
      <c r="A127" s="1"/>
      <c r="B127" s="65"/>
      <c r="C127" s="63"/>
      <c r="D127" s="10"/>
      <c r="E127" s="270"/>
      <c r="F127" s="267"/>
      <c r="G127" s="273"/>
      <c r="H127" s="283"/>
      <c r="I127" s="290"/>
      <c r="J127" s="263"/>
    </row>
    <row r="128" spans="1:10">
      <c r="A128" s="1"/>
      <c r="B128" s="65"/>
      <c r="C128" s="63"/>
      <c r="D128" s="10"/>
      <c r="E128" s="270"/>
      <c r="F128" s="267"/>
      <c r="G128" s="273"/>
      <c r="H128" s="283"/>
      <c r="I128" s="290"/>
      <c r="J128" s="263"/>
    </row>
    <row r="129" spans="1:10">
      <c r="A129" s="1"/>
      <c r="B129" s="65"/>
      <c r="C129" s="63"/>
      <c r="D129" s="10"/>
      <c r="E129" s="270"/>
      <c r="F129" s="267"/>
      <c r="G129" s="273"/>
      <c r="H129" s="283"/>
      <c r="I129" s="290"/>
      <c r="J129" s="263"/>
    </row>
    <row r="130" spans="1:10">
      <c r="A130" s="1"/>
      <c r="B130" s="65"/>
      <c r="C130" s="63"/>
      <c r="D130" s="10"/>
      <c r="E130" s="270"/>
      <c r="F130" s="267"/>
      <c r="G130" s="273"/>
      <c r="H130" s="283"/>
      <c r="I130" s="290"/>
      <c r="J130" s="263"/>
    </row>
    <row r="131" spans="1:10">
      <c r="A131" s="1"/>
      <c r="B131" s="65"/>
      <c r="C131" s="63"/>
      <c r="D131" s="10"/>
      <c r="E131" s="270"/>
      <c r="F131" s="267"/>
      <c r="G131" s="273"/>
      <c r="H131" s="283"/>
      <c r="I131" s="290"/>
      <c r="J131" s="263"/>
    </row>
    <row r="132" spans="1:10">
      <c r="A132" s="1"/>
      <c r="B132" s="65"/>
      <c r="C132" s="63"/>
      <c r="D132" s="10"/>
      <c r="E132" s="270"/>
      <c r="F132" s="267"/>
      <c r="G132" s="273"/>
      <c r="H132" s="283"/>
      <c r="I132" s="290"/>
      <c r="J132" s="263"/>
    </row>
    <row r="133" spans="1:10">
      <c r="A133" s="1"/>
      <c r="B133" s="65"/>
      <c r="C133" s="63"/>
      <c r="D133" s="10"/>
      <c r="E133" s="270"/>
      <c r="F133" s="267"/>
      <c r="G133" s="273"/>
      <c r="H133" s="283"/>
      <c r="I133" s="290"/>
      <c r="J133" s="263"/>
    </row>
    <row r="134" spans="1:10">
      <c r="A134" s="1"/>
      <c r="B134" s="65"/>
      <c r="C134" s="63"/>
      <c r="D134" s="10"/>
      <c r="E134" s="270"/>
      <c r="F134" s="267"/>
      <c r="G134" s="273"/>
      <c r="H134" s="283"/>
      <c r="I134" s="290"/>
      <c r="J134" s="263"/>
    </row>
    <row r="135" spans="1:10">
      <c r="A135" s="1"/>
      <c r="B135" s="65"/>
      <c r="C135" s="63"/>
      <c r="D135" s="10"/>
      <c r="E135" s="270"/>
      <c r="F135" s="267"/>
      <c r="G135" s="273"/>
      <c r="H135" s="283"/>
      <c r="I135" s="290"/>
      <c r="J135" s="263"/>
    </row>
    <row r="136" spans="1:10">
      <c r="A136" s="1"/>
      <c r="B136" s="65"/>
      <c r="C136" s="63"/>
      <c r="D136" s="10"/>
      <c r="E136" s="270"/>
      <c r="F136" s="267"/>
      <c r="G136" s="273"/>
      <c r="H136" s="283"/>
      <c r="I136" s="290"/>
      <c r="J136" s="263"/>
    </row>
    <row r="137" spans="1:10">
      <c r="A137" s="1"/>
      <c r="B137" s="65"/>
      <c r="C137" s="63"/>
      <c r="D137" s="10"/>
      <c r="E137" s="270"/>
      <c r="F137" s="267"/>
      <c r="G137" s="273"/>
      <c r="H137" s="283"/>
      <c r="I137" s="290"/>
      <c r="J137" s="263"/>
    </row>
    <row r="138" spans="1:10">
      <c r="A138" s="1"/>
      <c r="B138" s="65"/>
      <c r="C138" s="63"/>
      <c r="D138" s="10"/>
      <c r="E138" s="270"/>
      <c r="F138" s="267"/>
      <c r="G138" s="273"/>
      <c r="H138" s="283"/>
      <c r="I138" s="290"/>
      <c r="J138" s="263"/>
    </row>
    <row r="139" spans="1:10">
      <c r="A139" s="1"/>
      <c r="B139" s="65"/>
      <c r="C139" s="63"/>
      <c r="D139" s="10"/>
      <c r="E139" s="270"/>
      <c r="F139" s="267"/>
      <c r="G139" s="273"/>
      <c r="H139" s="283"/>
      <c r="I139" s="290"/>
      <c r="J139" s="263"/>
    </row>
    <row r="140" spans="1:10">
      <c r="A140" s="1"/>
      <c r="B140" s="65"/>
      <c r="C140" s="63"/>
      <c r="D140" s="10"/>
      <c r="E140" s="270"/>
      <c r="F140" s="267"/>
      <c r="G140" s="273"/>
      <c r="H140" s="283"/>
      <c r="I140" s="290"/>
      <c r="J140" s="263"/>
    </row>
    <row r="141" spans="1:10">
      <c r="A141" s="1"/>
      <c r="B141" s="65"/>
      <c r="C141" s="63"/>
      <c r="D141" s="10"/>
      <c r="E141" s="270"/>
      <c r="F141" s="267"/>
      <c r="G141" s="273"/>
      <c r="H141" s="283"/>
      <c r="I141" s="290"/>
      <c r="J141" s="263"/>
    </row>
    <row r="142" spans="1:10">
      <c r="A142" s="1"/>
      <c r="B142" s="65"/>
      <c r="C142" s="63"/>
      <c r="D142" s="10"/>
      <c r="E142" s="270"/>
      <c r="F142" s="267"/>
      <c r="G142" s="273"/>
      <c r="H142" s="283"/>
      <c r="I142" s="290"/>
      <c r="J142" s="263"/>
    </row>
    <row r="143" spans="1:10">
      <c r="A143" s="1"/>
      <c r="B143" s="65"/>
      <c r="C143" s="63"/>
      <c r="D143" s="10"/>
      <c r="E143" s="270"/>
      <c r="F143" s="267"/>
      <c r="G143" s="273"/>
      <c r="H143" s="283"/>
      <c r="I143" s="290"/>
      <c r="J143" s="263"/>
    </row>
    <row r="144" spans="1:10">
      <c r="A144" s="1"/>
      <c r="B144" s="65"/>
      <c r="C144" s="63"/>
      <c r="D144" s="10"/>
      <c r="E144" s="270"/>
      <c r="F144" s="267"/>
      <c r="G144" s="273"/>
      <c r="H144" s="283"/>
      <c r="I144" s="290"/>
      <c r="J144" s="263"/>
    </row>
    <row r="145" spans="1:10">
      <c r="A145" s="1"/>
      <c r="B145" s="65"/>
      <c r="C145" s="63"/>
      <c r="D145" s="10"/>
      <c r="E145" s="270"/>
      <c r="F145" s="267"/>
      <c r="G145" s="273"/>
      <c r="H145" s="283"/>
      <c r="I145" s="290"/>
      <c r="J145" s="263"/>
    </row>
    <row r="146" spans="1:10">
      <c r="A146" s="1"/>
      <c r="B146" s="65"/>
      <c r="C146" s="63"/>
      <c r="D146" s="10"/>
      <c r="E146" s="270"/>
      <c r="F146" s="267"/>
      <c r="G146" s="273"/>
      <c r="H146" s="283"/>
      <c r="I146" s="290"/>
      <c r="J146" s="263"/>
    </row>
    <row r="147" spans="1:10">
      <c r="A147" s="1"/>
      <c r="B147" s="65"/>
      <c r="C147" s="63"/>
      <c r="D147" s="10"/>
      <c r="E147" s="270"/>
      <c r="F147" s="267"/>
      <c r="G147" s="273"/>
      <c r="H147" s="283"/>
      <c r="I147" s="290"/>
      <c r="J147" s="263"/>
    </row>
    <row r="148" spans="1:10">
      <c r="A148" s="1"/>
      <c r="B148" s="65"/>
      <c r="C148" s="63"/>
      <c r="D148" s="10"/>
      <c r="E148" s="270"/>
      <c r="F148" s="267"/>
      <c r="G148" s="273"/>
      <c r="H148" s="283"/>
      <c r="I148" s="290"/>
      <c r="J148" s="263"/>
    </row>
    <row r="149" spans="1:10">
      <c r="A149" s="1"/>
      <c r="B149" s="65"/>
      <c r="C149" s="63"/>
      <c r="D149" s="10"/>
      <c r="E149" s="270"/>
      <c r="F149" s="267"/>
      <c r="G149" s="273"/>
      <c r="H149" s="283"/>
      <c r="I149" s="290"/>
      <c r="J149" s="263"/>
    </row>
    <row r="150" spans="1:10">
      <c r="A150" s="1"/>
      <c r="B150" s="1"/>
      <c r="C150" s="63"/>
      <c r="D150" s="10"/>
      <c r="E150" s="270"/>
      <c r="F150" s="267"/>
      <c r="G150" s="273"/>
      <c r="H150" s="283"/>
      <c r="I150" s="290"/>
      <c r="J150" s="263"/>
    </row>
    <row r="151" spans="1:10">
      <c r="A151" s="1"/>
      <c r="B151" s="1"/>
      <c r="C151" s="63"/>
      <c r="D151" s="10"/>
      <c r="E151" s="270"/>
      <c r="F151" s="267"/>
      <c r="G151" s="273"/>
      <c r="H151" s="283"/>
      <c r="I151" s="290"/>
      <c r="J151" s="263"/>
    </row>
    <row r="152" spans="1:10">
      <c r="A152" s="1"/>
      <c r="B152" s="1"/>
      <c r="C152" s="63"/>
      <c r="D152" s="10"/>
      <c r="E152" s="270"/>
      <c r="F152" s="267"/>
      <c r="G152" s="273"/>
      <c r="H152" s="283"/>
      <c r="I152" s="290"/>
      <c r="J152" s="263"/>
    </row>
    <row r="153" spans="1:10">
      <c r="A153" s="1"/>
      <c r="B153" s="1"/>
      <c r="C153" s="63"/>
      <c r="D153" s="10"/>
      <c r="E153" s="270"/>
      <c r="F153" s="267"/>
      <c r="G153" s="273"/>
      <c r="H153" s="283"/>
      <c r="I153" s="290"/>
    </row>
    <row r="154" spans="1:10">
      <c r="A154" s="1"/>
      <c r="B154" s="1"/>
      <c r="C154" s="63"/>
      <c r="D154" s="10"/>
      <c r="E154" s="270"/>
      <c r="F154" s="267"/>
      <c r="G154" s="273"/>
      <c r="H154" s="283"/>
      <c r="I154" s="290"/>
    </row>
    <row r="155" spans="1:10">
      <c r="A155" s="1"/>
      <c r="B155" s="1"/>
      <c r="C155" s="63"/>
      <c r="D155" s="10"/>
      <c r="E155" s="270"/>
      <c r="F155" s="267"/>
      <c r="G155" s="273"/>
      <c r="H155" s="283"/>
      <c r="I155" s="290"/>
    </row>
    <row r="156" spans="1:10">
      <c r="A156" s="1"/>
      <c r="B156" s="1"/>
      <c r="C156" s="63"/>
      <c r="D156" s="10"/>
      <c r="E156" s="270"/>
      <c r="F156" s="267"/>
      <c r="G156" s="273"/>
      <c r="H156" s="283"/>
      <c r="I156" s="290"/>
    </row>
    <row r="157" spans="1:10">
      <c r="A157" s="1"/>
      <c r="B157" s="1"/>
      <c r="C157" s="63"/>
      <c r="D157" s="10"/>
      <c r="E157" s="270"/>
      <c r="F157" s="267"/>
      <c r="G157" s="273"/>
      <c r="H157" s="283"/>
      <c r="I157" s="290"/>
    </row>
    <row r="158" spans="1:10">
      <c r="A158" s="1"/>
      <c r="B158" s="1"/>
      <c r="C158" s="63"/>
      <c r="D158" s="10"/>
      <c r="E158" s="270"/>
      <c r="F158" s="267"/>
      <c r="G158" s="273"/>
      <c r="H158" s="283"/>
      <c r="I158" s="290"/>
    </row>
    <row r="159" spans="1:10">
      <c r="A159" s="1"/>
      <c r="B159" s="1"/>
      <c r="C159" s="63"/>
      <c r="D159" s="10"/>
      <c r="E159" s="270"/>
      <c r="F159" s="267"/>
      <c r="G159" s="273"/>
      <c r="H159" s="283"/>
      <c r="I159" s="290"/>
    </row>
    <row r="160" spans="1:10">
      <c r="A160" s="1"/>
      <c r="B160" s="1"/>
      <c r="C160" s="63"/>
      <c r="D160" s="10"/>
      <c r="E160" s="270"/>
      <c r="F160" s="267"/>
      <c r="G160" s="273"/>
      <c r="H160" s="283"/>
      <c r="I160" s="290"/>
    </row>
    <row r="161" spans="1:9">
      <c r="A161" s="1"/>
      <c r="B161" s="1"/>
      <c r="C161" s="63"/>
      <c r="D161" s="10"/>
      <c r="E161" s="270"/>
      <c r="F161" s="267"/>
      <c r="G161" s="273"/>
      <c r="H161" s="283"/>
      <c r="I161" s="290"/>
    </row>
    <row r="162" spans="1:9">
      <c r="A162" s="1"/>
      <c r="B162" s="1"/>
      <c r="C162" s="63"/>
      <c r="D162" s="10"/>
      <c r="E162" s="270"/>
      <c r="F162" s="267"/>
      <c r="G162" s="273"/>
      <c r="H162" s="283"/>
      <c r="I162" s="290"/>
    </row>
    <row r="163" spans="1:9">
      <c r="A163" s="1"/>
      <c r="B163" s="1"/>
      <c r="C163" s="63"/>
      <c r="D163" s="10"/>
      <c r="E163" s="270"/>
      <c r="F163" s="267"/>
      <c r="G163" s="273"/>
      <c r="H163" s="283"/>
      <c r="I163" s="290"/>
    </row>
    <row r="164" spans="1:9">
      <c r="A164" s="1"/>
      <c r="B164" s="1"/>
      <c r="C164" s="63"/>
      <c r="D164" s="10"/>
      <c r="E164" s="270"/>
      <c r="F164" s="267"/>
      <c r="G164" s="273"/>
      <c r="H164" s="283"/>
      <c r="I164" s="290"/>
    </row>
    <row r="165" spans="1:9">
      <c r="A165" s="1"/>
      <c r="B165" s="1"/>
      <c r="C165" s="63"/>
      <c r="D165" s="10"/>
      <c r="E165" s="270"/>
      <c r="F165" s="267"/>
      <c r="G165" s="273"/>
      <c r="H165" s="283"/>
      <c r="I165" s="290"/>
    </row>
    <row r="166" spans="1:9">
      <c r="A166" s="1"/>
      <c r="B166" s="1"/>
      <c r="C166" s="63"/>
      <c r="D166" s="10"/>
      <c r="E166" s="270"/>
      <c r="F166" s="267"/>
      <c r="G166" s="273"/>
      <c r="H166" s="283"/>
      <c r="I166" s="290"/>
    </row>
    <row r="167" spans="1:9">
      <c r="A167" s="1"/>
      <c r="B167" s="1"/>
      <c r="C167" s="63"/>
      <c r="D167" s="10"/>
      <c r="E167" s="270"/>
      <c r="F167" s="267"/>
      <c r="G167" s="273"/>
      <c r="H167" s="283"/>
      <c r="I167" s="290"/>
    </row>
    <row r="168" spans="1:9">
      <c r="A168" s="1"/>
      <c r="B168" s="1"/>
      <c r="C168" s="63"/>
      <c r="D168" s="10"/>
      <c r="E168" s="270"/>
      <c r="F168" s="267"/>
      <c r="G168" s="273"/>
      <c r="H168" s="283"/>
      <c r="I168" s="290"/>
    </row>
    <row r="169" spans="1:9">
      <c r="A169" s="1"/>
      <c r="B169" s="1"/>
      <c r="C169" s="63"/>
      <c r="D169" s="10"/>
      <c r="E169" s="270"/>
      <c r="F169" s="267"/>
      <c r="G169" s="273"/>
      <c r="H169" s="283"/>
      <c r="I169" s="290"/>
    </row>
    <row r="170" spans="1:9">
      <c r="A170" s="1"/>
      <c r="B170" s="1"/>
      <c r="C170" s="63"/>
      <c r="D170" s="10"/>
      <c r="E170" s="270"/>
      <c r="F170" s="267"/>
      <c r="G170" s="273"/>
      <c r="H170" s="283"/>
      <c r="I170" s="290"/>
    </row>
    <row r="171" spans="1:9">
      <c r="A171" s="1"/>
      <c r="B171" s="1"/>
      <c r="C171" s="63"/>
      <c r="D171" s="10"/>
      <c r="E171" s="270"/>
      <c r="F171" s="267"/>
      <c r="G171" s="273"/>
      <c r="H171" s="283"/>
      <c r="I171" s="290"/>
    </row>
    <row r="172" spans="1:9">
      <c r="A172" s="1"/>
      <c r="B172" s="1"/>
      <c r="C172" s="63"/>
      <c r="D172" s="10"/>
      <c r="E172" s="270"/>
      <c r="F172" s="267"/>
      <c r="G172" s="273"/>
      <c r="H172" s="283"/>
      <c r="I172" s="290"/>
    </row>
    <row r="173" spans="1:9">
      <c r="A173" s="1"/>
      <c r="B173" s="1"/>
      <c r="C173" s="63"/>
      <c r="D173" s="10"/>
      <c r="E173" s="270"/>
      <c r="F173" s="267"/>
      <c r="G173" s="273"/>
      <c r="H173" s="283"/>
      <c r="I173" s="290"/>
    </row>
    <row r="174" spans="1:9">
      <c r="A174" s="1"/>
      <c r="B174" s="1"/>
      <c r="C174" s="63"/>
      <c r="D174" s="10"/>
      <c r="E174" s="270"/>
      <c r="F174" s="267"/>
      <c r="G174" s="273"/>
      <c r="H174" s="283"/>
      <c r="I174" s="290"/>
    </row>
    <row r="175" spans="1:9">
      <c r="A175" s="1"/>
      <c r="B175" s="1"/>
      <c r="C175" s="63"/>
      <c r="D175" s="10"/>
      <c r="E175" s="270"/>
      <c r="F175" s="267"/>
      <c r="G175" s="273"/>
      <c r="H175" s="283"/>
      <c r="I175" s="290"/>
    </row>
    <row r="176" spans="1:9">
      <c r="A176" s="1"/>
      <c r="B176" s="1"/>
      <c r="C176" s="63"/>
      <c r="D176" s="10"/>
      <c r="E176" s="270"/>
      <c r="F176" s="267"/>
      <c r="G176" s="273"/>
      <c r="H176" s="283"/>
      <c r="I176" s="290"/>
    </row>
    <row r="177" spans="1:9">
      <c r="A177" s="1"/>
      <c r="B177" s="1"/>
      <c r="C177" s="63"/>
      <c r="D177" s="10"/>
      <c r="E177" s="270"/>
      <c r="F177" s="267"/>
      <c r="G177" s="273"/>
      <c r="H177" s="283"/>
      <c r="I177" s="290"/>
    </row>
    <row r="178" spans="1:9">
      <c r="A178" s="1"/>
      <c r="B178" s="1"/>
      <c r="C178" s="63"/>
      <c r="D178" s="10"/>
      <c r="E178" s="270"/>
      <c r="F178" s="267"/>
      <c r="G178" s="273"/>
      <c r="H178" s="283"/>
      <c r="I178" s="290"/>
    </row>
    <row r="179" spans="1:9">
      <c r="A179" s="1"/>
      <c r="B179" s="1"/>
      <c r="C179" s="63"/>
      <c r="D179" s="10"/>
      <c r="E179" s="270"/>
      <c r="F179" s="267"/>
      <c r="G179" s="273"/>
      <c r="H179" s="283"/>
      <c r="I179" s="290"/>
    </row>
    <row r="180" spans="1:9">
      <c r="A180" s="1"/>
      <c r="B180" s="1"/>
      <c r="C180" s="63"/>
      <c r="D180" s="10"/>
      <c r="E180" s="270"/>
      <c r="F180" s="267"/>
      <c r="G180" s="273"/>
      <c r="H180" s="283"/>
      <c r="I180" s="290"/>
    </row>
    <row r="181" spans="1:9">
      <c r="A181" s="1"/>
      <c r="B181" s="1"/>
      <c r="C181" s="63"/>
      <c r="D181" s="10"/>
      <c r="E181" s="270"/>
      <c r="F181" s="267"/>
      <c r="G181" s="273"/>
      <c r="H181" s="283"/>
      <c r="I181" s="290"/>
    </row>
    <row r="182" spans="1:9">
      <c r="A182" s="1"/>
      <c r="B182" s="1"/>
      <c r="C182" s="63"/>
      <c r="D182" s="10"/>
      <c r="E182" s="270"/>
      <c r="F182" s="267"/>
      <c r="G182" s="273"/>
      <c r="H182" s="283"/>
      <c r="I182" s="290"/>
    </row>
    <row r="183" spans="1:9">
      <c r="A183" s="1"/>
      <c r="B183" s="1"/>
      <c r="C183" s="63"/>
      <c r="D183" s="10"/>
      <c r="E183" s="270"/>
      <c r="F183" s="267"/>
      <c r="G183" s="273"/>
      <c r="H183" s="283"/>
      <c r="I183" s="290"/>
    </row>
    <row r="184" spans="1:9">
      <c r="A184" s="1"/>
      <c r="B184" s="1"/>
      <c r="C184" s="63"/>
      <c r="D184" s="10"/>
      <c r="E184" s="270"/>
      <c r="F184" s="267"/>
      <c r="G184" s="273"/>
      <c r="H184" s="283"/>
      <c r="I184" s="290"/>
    </row>
    <row r="185" spans="1:9">
      <c r="A185" s="1"/>
      <c r="B185" s="1"/>
      <c r="C185" s="63"/>
      <c r="D185" s="10"/>
      <c r="E185" s="270"/>
      <c r="F185" s="267"/>
      <c r="G185" s="273"/>
      <c r="H185" s="283"/>
      <c r="I185" s="290"/>
    </row>
    <row r="186" spans="1:9">
      <c r="A186" s="1"/>
      <c r="B186" s="1"/>
      <c r="C186" s="63"/>
      <c r="D186" s="10"/>
      <c r="E186" s="270"/>
      <c r="F186" s="267"/>
      <c r="G186" s="273"/>
      <c r="H186" s="283"/>
      <c r="I186" s="290"/>
    </row>
    <row r="187" spans="1:9">
      <c r="A187" s="1"/>
      <c r="B187" s="1"/>
      <c r="C187" s="63"/>
      <c r="D187" s="10"/>
      <c r="E187" s="270"/>
      <c r="F187" s="267"/>
      <c r="G187" s="273"/>
      <c r="H187" s="283"/>
      <c r="I187" s="290"/>
    </row>
    <row r="188" spans="1:9">
      <c r="A188" s="1"/>
      <c r="B188" s="1"/>
      <c r="C188" s="63"/>
      <c r="D188" s="10"/>
      <c r="E188" s="270"/>
      <c r="F188" s="267"/>
      <c r="G188" s="273"/>
      <c r="H188" s="283"/>
      <c r="I188" s="290"/>
    </row>
    <row r="189" spans="1:9">
      <c r="A189" s="1"/>
      <c r="B189" s="1"/>
      <c r="C189" s="63"/>
      <c r="D189" s="10"/>
      <c r="E189" s="270"/>
      <c r="F189" s="267"/>
      <c r="G189" s="273"/>
      <c r="H189" s="283"/>
      <c r="I189" s="290"/>
    </row>
    <row r="190" spans="1:9">
      <c r="A190" s="1"/>
      <c r="B190" s="1"/>
      <c r="C190" s="63"/>
      <c r="D190" s="10"/>
      <c r="E190" s="270"/>
      <c r="F190" s="267"/>
      <c r="G190" s="273"/>
      <c r="H190" s="283"/>
      <c r="I190" s="290"/>
    </row>
    <row r="191" spans="1:9">
      <c r="A191" s="1"/>
      <c r="B191" s="1"/>
      <c r="C191" s="63"/>
      <c r="D191" s="10"/>
      <c r="E191" s="270"/>
      <c r="F191" s="267"/>
      <c r="G191" s="273"/>
      <c r="H191" s="283"/>
      <c r="I191" s="290"/>
    </row>
    <row r="192" spans="1:9">
      <c r="A192" s="1"/>
      <c r="B192" s="1"/>
      <c r="C192" s="63"/>
      <c r="D192" s="10"/>
      <c r="E192" s="270"/>
      <c r="F192" s="267"/>
      <c r="G192" s="273"/>
      <c r="H192" s="283"/>
      <c r="I192" s="290"/>
    </row>
    <row r="193" spans="1:9">
      <c r="A193" s="1"/>
      <c r="B193" s="1"/>
      <c r="C193" s="63"/>
      <c r="D193" s="10"/>
      <c r="E193" s="270"/>
      <c r="F193" s="267"/>
      <c r="G193" s="273"/>
      <c r="H193" s="283"/>
      <c r="I193" s="290"/>
    </row>
    <row r="194" spans="1:9">
      <c r="A194" s="1"/>
      <c r="B194" s="1"/>
      <c r="C194" s="63"/>
      <c r="D194" s="10"/>
      <c r="E194" s="270"/>
      <c r="F194" s="267"/>
      <c r="G194" s="273"/>
      <c r="H194" s="283"/>
      <c r="I194" s="290"/>
    </row>
    <row r="195" spans="1:9">
      <c r="A195" s="1"/>
      <c r="B195" s="1"/>
      <c r="C195" s="63"/>
      <c r="D195" s="10"/>
      <c r="E195" s="270"/>
      <c r="F195" s="267"/>
      <c r="G195" s="273"/>
      <c r="H195" s="283"/>
      <c r="I195" s="290"/>
    </row>
    <row r="196" spans="1:9">
      <c r="A196" s="1"/>
      <c r="B196" s="1"/>
      <c r="C196" s="63"/>
      <c r="D196" s="10"/>
      <c r="E196" s="270"/>
      <c r="F196" s="267"/>
      <c r="G196" s="273"/>
      <c r="H196" s="283"/>
      <c r="I196" s="290"/>
    </row>
    <row r="197" spans="1:9">
      <c r="A197" s="1"/>
      <c r="B197" s="1"/>
      <c r="C197" s="63"/>
      <c r="D197" s="10"/>
      <c r="E197" s="270"/>
      <c r="F197" s="267"/>
      <c r="G197" s="273"/>
      <c r="H197" s="283"/>
      <c r="I197" s="290"/>
    </row>
    <row r="198" spans="1:9">
      <c r="A198" s="1"/>
      <c r="B198" s="1"/>
      <c r="C198" s="63"/>
      <c r="D198" s="10"/>
      <c r="E198" s="270"/>
      <c r="F198" s="267"/>
      <c r="G198" s="273"/>
      <c r="H198" s="283"/>
      <c r="I198" s="290"/>
    </row>
    <row r="199" spans="1:9">
      <c r="A199" s="1"/>
      <c r="B199" s="1"/>
      <c r="C199" s="63"/>
      <c r="D199" s="10"/>
      <c r="E199" s="270"/>
      <c r="F199" s="267"/>
      <c r="G199" s="273"/>
      <c r="H199" s="283"/>
      <c r="I199" s="290"/>
    </row>
    <row r="200" spans="1:9">
      <c r="A200" s="1"/>
      <c r="B200" s="1"/>
      <c r="C200" s="63"/>
      <c r="D200" s="10"/>
      <c r="E200" s="270"/>
      <c r="F200" s="267"/>
      <c r="G200" s="273"/>
      <c r="H200" s="283"/>
      <c r="I200" s="290"/>
    </row>
    <row r="201" spans="1:9">
      <c r="A201" s="1"/>
      <c r="B201" s="1"/>
      <c r="C201" s="63"/>
      <c r="D201" s="10"/>
      <c r="E201" s="270"/>
      <c r="F201" s="267"/>
      <c r="G201" s="273"/>
      <c r="H201" s="283"/>
      <c r="I201" s="290"/>
    </row>
    <row r="202" spans="1:9">
      <c r="A202" s="1"/>
      <c r="B202" s="1"/>
      <c r="C202" s="63"/>
      <c r="D202" s="10"/>
      <c r="E202" s="270"/>
      <c r="F202" s="267"/>
      <c r="G202" s="273"/>
      <c r="H202" s="283"/>
      <c r="I202" s="290"/>
    </row>
    <row r="203" spans="1:9">
      <c r="A203" s="1"/>
      <c r="B203" s="1"/>
      <c r="C203" s="63"/>
      <c r="D203" s="10"/>
      <c r="E203" s="270"/>
      <c r="F203" s="267"/>
      <c r="G203" s="273"/>
      <c r="H203" s="283"/>
      <c r="I203" s="290"/>
    </row>
    <row r="204" spans="1:9">
      <c r="A204" s="1"/>
      <c r="B204" s="1"/>
      <c r="C204" s="63"/>
      <c r="D204" s="10"/>
      <c r="E204" s="270"/>
      <c r="F204" s="267"/>
      <c r="G204" s="273"/>
      <c r="H204" s="283"/>
      <c r="I204" s="290"/>
    </row>
    <row r="205" spans="1:9">
      <c r="A205" s="1"/>
      <c r="B205" s="1"/>
      <c r="C205" s="63"/>
      <c r="D205" s="10"/>
      <c r="E205" s="270"/>
      <c r="F205" s="267"/>
      <c r="G205" s="273"/>
      <c r="H205" s="283"/>
      <c r="I205" s="290"/>
    </row>
    <row r="206" spans="1:9">
      <c r="A206" s="1"/>
      <c r="B206" s="1"/>
      <c r="C206" s="63"/>
      <c r="D206" s="10"/>
      <c r="E206" s="270"/>
      <c r="F206" s="267"/>
      <c r="G206" s="273"/>
      <c r="H206" s="283"/>
      <c r="I206" s="290"/>
    </row>
    <row r="207" spans="1:9">
      <c r="A207" s="1"/>
      <c r="B207" s="1"/>
      <c r="C207" s="63"/>
      <c r="D207" s="10"/>
      <c r="E207" s="270"/>
      <c r="F207" s="267"/>
      <c r="G207" s="273"/>
      <c r="H207" s="283"/>
      <c r="I207" s="290"/>
    </row>
    <row r="208" spans="1:9">
      <c r="A208" s="1"/>
      <c r="B208" s="1"/>
      <c r="C208" s="63"/>
      <c r="D208" s="10"/>
      <c r="E208" s="270"/>
      <c r="F208" s="267"/>
      <c r="G208" s="273"/>
      <c r="H208" s="283"/>
      <c r="I208" s="290"/>
    </row>
    <row r="209" spans="1:9">
      <c r="A209" s="1"/>
      <c r="B209" s="1"/>
      <c r="C209" s="63"/>
      <c r="D209" s="10"/>
      <c r="E209" s="270"/>
      <c r="F209" s="267"/>
      <c r="G209" s="273"/>
      <c r="H209" s="283"/>
      <c r="I209" s="290"/>
    </row>
    <row r="210" spans="1:9">
      <c r="A210" s="1"/>
      <c r="B210" s="1"/>
      <c r="C210" s="63"/>
      <c r="D210" s="10"/>
      <c r="E210" s="270"/>
      <c r="F210" s="267"/>
      <c r="G210" s="273"/>
      <c r="H210" s="283"/>
      <c r="I210" s="290"/>
    </row>
    <row r="211" spans="1:9">
      <c r="A211" s="1"/>
      <c r="B211" s="1"/>
      <c r="C211" s="63"/>
      <c r="D211" s="10"/>
      <c r="E211" s="270"/>
      <c r="F211" s="267"/>
      <c r="G211" s="273"/>
      <c r="H211" s="283"/>
      <c r="I211" s="290"/>
    </row>
    <row r="212" spans="1:9">
      <c r="A212" s="1"/>
      <c r="B212" s="1"/>
      <c r="C212" s="63"/>
      <c r="D212" s="10"/>
      <c r="E212" s="270"/>
      <c r="F212" s="267"/>
      <c r="G212" s="273"/>
      <c r="H212" s="283"/>
      <c r="I212" s="290"/>
    </row>
    <row r="213" spans="1:9">
      <c r="A213" s="1"/>
      <c r="B213" s="1"/>
      <c r="C213" s="63"/>
      <c r="D213" s="10"/>
      <c r="E213" s="270"/>
      <c r="F213" s="267"/>
      <c r="G213" s="273"/>
      <c r="H213" s="283"/>
      <c r="I213" s="290"/>
    </row>
    <row r="214" spans="1:9">
      <c r="A214" s="1"/>
      <c r="B214" s="1"/>
      <c r="C214" s="63"/>
      <c r="D214" s="10"/>
      <c r="E214" s="270"/>
      <c r="F214" s="267"/>
      <c r="G214" s="273"/>
      <c r="H214" s="283"/>
      <c r="I214" s="290"/>
    </row>
    <row r="215" spans="1:9">
      <c r="A215" s="1"/>
      <c r="B215" s="1"/>
      <c r="C215" s="63"/>
      <c r="D215" s="10"/>
      <c r="E215" s="270"/>
      <c r="F215" s="267"/>
      <c r="G215" s="273"/>
      <c r="H215" s="283"/>
      <c r="I215" s="290"/>
    </row>
    <row r="216" spans="1:9">
      <c r="A216" s="1"/>
      <c r="B216" s="1"/>
      <c r="C216" s="63"/>
      <c r="D216" s="10"/>
      <c r="E216" s="270"/>
      <c r="F216" s="267"/>
      <c r="G216" s="273"/>
      <c r="H216" s="283"/>
      <c r="I216" s="290"/>
    </row>
    <row r="217" spans="1:9">
      <c r="A217" s="1"/>
      <c r="B217" s="1"/>
      <c r="C217" s="63"/>
      <c r="D217" s="10"/>
      <c r="E217" s="270"/>
      <c r="F217" s="267"/>
      <c r="G217" s="273"/>
      <c r="H217" s="283"/>
      <c r="I217" s="290"/>
    </row>
    <row r="218" spans="1:9">
      <c r="A218" s="1"/>
      <c r="B218" s="1"/>
      <c r="C218" s="63"/>
      <c r="D218" s="10"/>
      <c r="E218" s="270"/>
      <c r="F218" s="267"/>
      <c r="G218" s="273"/>
      <c r="H218" s="283"/>
      <c r="I218" s="290"/>
    </row>
    <row r="219" spans="1:9">
      <c r="A219" s="1"/>
      <c r="B219" s="1"/>
      <c r="C219" s="63"/>
      <c r="D219" s="10"/>
      <c r="E219" s="270"/>
      <c r="F219" s="267"/>
      <c r="G219" s="273"/>
      <c r="H219" s="283"/>
      <c r="I219" s="290"/>
    </row>
    <row r="220" spans="1:9">
      <c r="A220" s="1"/>
      <c r="B220" s="1"/>
      <c r="C220" s="63"/>
      <c r="D220" s="10"/>
      <c r="E220" s="270"/>
      <c r="F220" s="267"/>
      <c r="G220" s="273"/>
      <c r="H220" s="283"/>
      <c r="I220" s="290"/>
    </row>
    <row r="221" spans="1:9">
      <c r="A221" s="1"/>
      <c r="B221" s="1"/>
      <c r="C221" s="63"/>
      <c r="D221" s="10"/>
      <c r="E221" s="270"/>
      <c r="F221" s="267"/>
      <c r="G221" s="273"/>
      <c r="H221" s="283"/>
      <c r="I221" s="290"/>
    </row>
    <row r="222" spans="1:9">
      <c r="A222" s="1"/>
      <c r="B222" s="1"/>
      <c r="C222" s="63"/>
      <c r="D222" s="10"/>
      <c r="E222" s="270"/>
      <c r="F222" s="267"/>
      <c r="G222" s="273"/>
      <c r="H222" s="283"/>
      <c r="I222" s="290"/>
    </row>
    <row r="223" spans="1:9">
      <c r="A223" s="1"/>
      <c r="B223" s="1"/>
      <c r="C223" s="63"/>
      <c r="D223" s="10"/>
      <c r="E223" s="270"/>
      <c r="F223" s="267"/>
      <c r="G223" s="273"/>
      <c r="H223" s="283"/>
      <c r="I223" s="290"/>
    </row>
    <row r="224" spans="1:9">
      <c r="A224" s="1"/>
      <c r="B224" s="1"/>
      <c r="C224" s="63"/>
      <c r="D224" s="10"/>
      <c r="E224" s="270"/>
      <c r="F224" s="267"/>
      <c r="G224" s="273"/>
      <c r="H224" s="283"/>
      <c r="I224" s="290"/>
    </row>
    <row r="225" spans="1:9">
      <c r="A225" s="1"/>
      <c r="B225" s="1"/>
      <c r="C225" s="63"/>
      <c r="D225" s="10"/>
      <c r="E225" s="270"/>
      <c r="F225" s="267"/>
      <c r="G225" s="273"/>
      <c r="H225" s="283"/>
      <c r="I225" s="290"/>
    </row>
    <row r="226" spans="1:9">
      <c r="A226" s="1"/>
      <c r="B226" s="1"/>
      <c r="C226" s="63"/>
      <c r="D226" s="10"/>
      <c r="E226" s="270"/>
      <c r="F226" s="267"/>
      <c r="G226" s="273"/>
      <c r="H226" s="283"/>
      <c r="I226" s="290"/>
    </row>
    <row r="227" spans="1:9">
      <c r="A227" s="1"/>
      <c r="B227" s="1"/>
      <c r="C227" s="63"/>
      <c r="D227" s="10"/>
      <c r="E227" s="270"/>
      <c r="F227" s="267"/>
      <c r="G227" s="273"/>
      <c r="H227" s="283"/>
      <c r="I227" s="290"/>
    </row>
    <row r="228" spans="1:9">
      <c r="A228" s="1"/>
      <c r="B228" s="1"/>
      <c r="C228" s="63"/>
      <c r="D228" s="10"/>
      <c r="E228" s="270"/>
      <c r="F228" s="267"/>
      <c r="G228" s="273"/>
      <c r="H228" s="283"/>
      <c r="I228" s="290"/>
    </row>
    <row r="229" spans="1:9">
      <c r="A229" s="1"/>
      <c r="B229" s="1"/>
      <c r="C229" s="63"/>
      <c r="D229" s="10"/>
      <c r="E229" s="270"/>
      <c r="F229" s="267"/>
      <c r="G229" s="273"/>
      <c r="H229" s="283"/>
      <c r="I229" s="290"/>
    </row>
    <row r="230" spans="1:9">
      <c r="A230" s="1"/>
      <c r="B230" s="1"/>
      <c r="C230" s="63"/>
      <c r="D230" s="10"/>
      <c r="E230" s="270"/>
      <c r="F230" s="267"/>
      <c r="G230" s="273"/>
      <c r="H230" s="283"/>
      <c r="I230" s="290"/>
    </row>
    <row r="231" spans="1:9">
      <c r="A231" s="1"/>
      <c r="B231" s="1"/>
      <c r="C231" s="63"/>
      <c r="D231" s="10"/>
      <c r="E231" s="270"/>
      <c r="F231" s="267"/>
      <c r="G231" s="273"/>
      <c r="H231" s="283"/>
      <c r="I231" s="290"/>
    </row>
    <row r="232" spans="1:9">
      <c r="A232" s="1"/>
      <c r="B232" s="1"/>
      <c r="C232" s="63"/>
      <c r="D232" s="10"/>
      <c r="E232" s="270"/>
      <c r="F232" s="267"/>
      <c r="G232" s="273"/>
      <c r="H232" s="283"/>
      <c r="I232" s="290"/>
    </row>
    <row r="233" spans="1:9">
      <c r="A233" s="1"/>
      <c r="B233" s="1"/>
      <c r="C233" s="63"/>
      <c r="D233" s="10"/>
      <c r="E233" s="270"/>
      <c r="F233" s="267"/>
      <c r="G233" s="273"/>
      <c r="H233" s="283"/>
      <c r="I233" s="290"/>
    </row>
    <row r="234" spans="1:9">
      <c r="A234" s="1"/>
      <c r="B234" s="1"/>
      <c r="C234" s="63"/>
      <c r="D234" s="10"/>
      <c r="E234" s="270"/>
      <c r="F234" s="267"/>
      <c r="G234" s="273"/>
      <c r="H234" s="283"/>
      <c r="I234" s="290"/>
    </row>
    <row r="235" spans="1:9">
      <c r="A235" s="1"/>
      <c r="B235" s="1"/>
      <c r="C235" s="63"/>
      <c r="D235" s="10"/>
      <c r="E235" s="270"/>
      <c r="F235" s="267"/>
      <c r="G235" s="273"/>
      <c r="H235" s="283"/>
      <c r="I235" s="290"/>
    </row>
    <row r="236" spans="1:9">
      <c r="A236" s="1"/>
      <c r="B236" s="1"/>
      <c r="C236" s="63"/>
      <c r="D236" s="10"/>
      <c r="E236" s="270"/>
      <c r="F236" s="267"/>
      <c r="G236" s="273"/>
      <c r="H236" s="283"/>
      <c r="I236" s="290"/>
    </row>
    <row r="237" spans="1:9">
      <c r="A237" s="1"/>
      <c r="B237" s="1"/>
      <c r="C237" s="63"/>
      <c r="D237" s="10"/>
      <c r="E237" s="270"/>
      <c r="F237" s="267"/>
      <c r="G237" s="273"/>
      <c r="H237" s="283"/>
      <c r="I237" s="290"/>
    </row>
    <row r="238" spans="1:9">
      <c r="A238" s="1"/>
      <c r="B238" s="1"/>
      <c r="C238" s="63"/>
      <c r="D238" s="10"/>
      <c r="E238" s="270"/>
      <c r="F238" s="267"/>
      <c r="G238" s="273"/>
      <c r="H238" s="283"/>
      <c r="I238" s="290"/>
    </row>
    <row r="239" spans="1:9">
      <c r="A239" s="1"/>
      <c r="B239" s="1"/>
      <c r="C239" s="63"/>
      <c r="D239" s="10"/>
      <c r="E239" s="270"/>
      <c r="F239" s="267"/>
      <c r="G239" s="273"/>
      <c r="H239" s="283"/>
      <c r="I239" s="290"/>
    </row>
    <row r="240" spans="1:9">
      <c r="A240" s="1"/>
      <c r="B240" s="1"/>
      <c r="C240" s="63"/>
      <c r="D240" s="10"/>
      <c r="E240" s="270"/>
      <c r="F240" s="267"/>
      <c r="G240" s="273"/>
      <c r="H240" s="283"/>
      <c r="I240" s="290"/>
    </row>
    <row r="241" spans="1:9">
      <c r="A241" s="1"/>
      <c r="B241" s="1"/>
      <c r="C241" s="63"/>
      <c r="D241" s="10"/>
      <c r="E241" s="270"/>
      <c r="F241" s="267"/>
      <c r="G241" s="273"/>
      <c r="H241" s="283"/>
      <c r="I241" s="290"/>
    </row>
    <row r="242" spans="1:9">
      <c r="A242" s="1"/>
      <c r="B242" s="1"/>
      <c r="C242" s="63"/>
      <c r="D242" s="10"/>
      <c r="E242" s="270"/>
      <c r="F242" s="267"/>
      <c r="G242" s="273"/>
      <c r="H242" s="283"/>
      <c r="I242" s="290"/>
    </row>
    <row r="243" spans="1:9">
      <c r="A243" s="1"/>
      <c r="B243" s="1"/>
      <c r="C243" s="63"/>
      <c r="D243" s="10"/>
      <c r="E243" s="270"/>
      <c r="F243" s="267"/>
      <c r="G243" s="273"/>
      <c r="H243" s="283"/>
      <c r="I243" s="290"/>
    </row>
    <row r="244" spans="1:9">
      <c r="A244" s="1"/>
      <c r="B244" s="1"/>
      <c r="C244" s="63"/>
      <c r="D244" s="10"/>
      <c r="E244" s="270"/>
      <c r="F244" s="267"/>
      <c r="G244" s="273"/>
      <c r="H244" s="283"/>
      <c r="I244" s="290"/>
    </row>
    <row r="245" spans="1:9">
      <c r="A245" s="1"/>
      <c r="B245" s="1"/>
      <c r="C245" s="63"/>
      <c r="D245" s="10"/>
      <c r="E245" s="270"/>
      <c r="F245" s="267"/>
      <c r="G245" s="273"/>
      <c r="H245" s="283"/>
      <c r="I245" s="290"/>
    </row>
    <row r="246" spans="1:9">
      <c r="A246" s="1"/>
      <c r="B246" s="1"/>
      <c r="C246" s="63"/>
      <c r="D246" s="10"/>
      <c r="E246" s="270"/>
      <c r="F246" s="267"/>
      <c r="G246" s="273"/>
      <c r="H246" s="283"/>
      <c r="I246" s="290"/>
    </row>
    <row r="247" spans="1:9">
      <c r="A247" s="1"/>
      <c r="B247" s="1"/>
      <c r="C247" s="63"/>
      <c r="D247" s="10"/>
      <c r="E247" s="270"/>
      <c r="F247" s="267"/>
      <c r="G247" s="273"/>
      <c r="H247" s="283"/>
      <c r="I247" s="290"/>
    </row>
    <row r="248" spans="1:9">
      <c r="A248" s="1"/>
      <c r="B248" s="1"/>
      <c r="C248" s="63"/>
      <c r="D248" s="10"/>
      <c r="E248" s="270"/>
      <c r="F248" s="267"/>
      <c r="G248" s="273"/>
      <c r="H248" s="283"/>
      <c r="I248" s="290"/>
    </row>
    <row r="249" spans="1:9">
      <c r="A249" s="1"/>
      <c r="B249" s="1"/>
      <c r="C249" s="63"/>
      <c r="D249" s="10"/>
      <c r="E249" s="270"/>
      <c r="F249" s="267"/>
      <c r="G249" s="273"/>
      <c r="H249" s="283"/>
      <c r="I249" s="290"/>
    </row>
    <row r="250" spans="1:9">
      <c r="A250" s="1"/>
      <c r="B250" s="1"/>
      <c r="C250" s="63"/>
      <c r="D250" s="10"/>
      <c r="E250" s="270"/>
      <c r="F250" s="267"/>
      <c r="G250" s="273"/>
      <c r="H250" s="283"/>
      <c r="I250" s="290"/>
    </row>
    <row r="251" spans="1:9">
      <c r="A251" s="1"/>
      <c r="B251" s="1"/>
      <c r="C251" s="63"/>
      <c r="D251" s="10"/>
      <c r="E251" s="270"/>
      <c r="F251" s="267"/>
      <c r="G251" s="273"/>
      <c r="H251" s="283"/>
      <c r="I251" s="290"/>
    </row>
    <row r="252" spans="1:9">
      <c r="A252" s="1"/>
      <c r="B252" s="1"/>
      <c r="C252" s="63"/>
      <c r="D252" s="10"/>
      <c r="E252" s="270"/>
      <c r="F252" s="267"/>
      <c r="G252" s="273"/>
      <c r="H252" s="283"/>
      <c r="I252" s="290"/>
    </row>
    <row r="253" spans="1:9">
      <c r="A253" s="1"/>
      <c r="B253" s="1"/>
      <c r="C253" s="63"/>
      <c r="D253" s="10"/>
      <c r="E253" s="270"/>
      <c r="F253" s="267"/>
      <c r="G253" s="273"/>
      <c r="H253" s="283"/>
      <c r="I253" s="290"/>
    </row>
    <row r="254" spans="1:9">
      <c r="A254" s="1"/>
      <c r="B254" s="1"/>
      <c r="C254" s="63"/>
      <c r="D254" s="10"/>
      <c r="E254" s="270"/>
      <c r="F254" s="267"/>
      <c r="G254" s="273"/>
      <c r="H254" s="283"/>
      <c r="I254" s="290"/>
    </row>
    <row r="255" spans="1:9">
      <c r="A255" s="1"/>
      <c r="B255" s="1"/>
      <c r="C255" s="63"/>
      <c r="D255" s="10"/>
      <c r="E255" s="270"/>
      <c r="F255" s="267"/>
      <c r="G255" s="273"/>
      <c r="H255" s="283"/>
      <c r="I255" s="290"/>
    </row>
    <row r="256" spans="1:9">
      <c r="A256" s="1"/>
      <c r="B256" s="1"/>
      <c r="C256" s="63"/>
      <c r="D256" s="10"/>
      <c r="E256" s="270"/>
      <c r="F256" s="267"/>
      <c r="G256" s="273"/>
      <c r="H256" s="283"/>
      <c r="I256" s="290"/>
    </row>
    <row r="257" spans="1:9">
      <c r="A257" s="1"/>
      <c r="B257" s="1"/>
      <c r="C257" s="63"/>
      <c r="D257" s="10"/>
      <c r="E257" s="270"/>
      <c r="F257" s="267"/>
      <c r="G257" s="273"/>
      <c r="H257" s="283"/>
      <c r="I257" s="290"/>
    </row>
    <row r="258" spans="1:9">
      <c r="A258" s="1"/>
      <c r="B258" s="1"/>
      <c r="C258" s="63"/>
      <c r="D258" s="10"/>
      <c r="E258" s="270"/>
      <c r="F258" s="267"/>
      <c r="G258" s="273"/>
      <c r="H258" s="283"/>
      <c r="I258" s="290"/>
    </row>
    <row r="259" spans="1:9">
      <c r="A259" s="1"/>
      <c r="B259" s="1"/>
      <c r="C259" s="63"/>
      <c r="D259" s="10"/>
      <c r="E259" s="270"/>
      <c r="F259" s="267"/>
      <c r="G259" s="273"/>
      <c r="H259" s="283"/>
      <c r="I259" s="290"/>
    </row>
    <row r="260" spans="1:9">
      <c r="A260" s="1"/>
      <c r="B260" s="1"/>
      <c r="C260" s="63"/>
      <c r="D260" s="10"/>
      <c r="E260" s="270"/>
      <c r="F260" s="267"/>
      <c r="G260" s="273"/>
      <c r="H260" s="283"/>
      <c r="I260" s="290"/>
    </row>
    <row r="261" spans="1:9">
      <c r="A261" s="1"/>
      <c r="B261" s="1"/>
      <c r="C261" s="63"/>
      <c r="D261" s="10"/>
      <c r="E261" s="270"/>
      <c r="F261" s="267"/>
      <c r="G261" s="273"/>
      <c r="H261" s="283"/>
      <c r="I261" s="290"/>
    </row>
    <row r="262" spans="1:9">
      <c r="A262" s="1"/>
      <c r="B262" s="1"/>
      <c r="C262" s="63"/>
      <c r="D262" s="10"/>
      <c r="E262" s="270"/>
      <c r="F262" s="267"/>
      <c r="G262" s="273"/>
      <c r="H262" s="283"/>
      <c r="I262" s="290"/>
    </row>
    <row r="263" spans="1:9">
      <c r="A263" s="1"/>
      <c r="B263" s="1"/>
      <c r="C263" s="63"/>
      <c r="D263" s="10"/>
      <c r="E263" s="270"/>
      <c r="F263" s="267"/>
      <c r="G263" s="273"/>
      <c r="H263" s="283"/>
      <c r="I263" s="290"/>
    </row>
    <row r="264" spans="1:9">
      <c r="A264" s="1"/>
      <c r="B264" s="1"/>
      <c r="C264" s="63"/>
      <c r="D264" s="10"/>
      <c r="E264" s="270"/>
      <c r="F264" s="267"/>
      <c r="G264" s="273"/>
      <c r="H264" s="283"/>
      <c r="I264" s="290"/>
    </row>
    <row r="265" spans="1:9">
      <c r="A265" s="1"/>
      <c r="B265" s="1"/>
      <c r="C265" s="63"/>
      <c r="D265" s="10"/>
      <c r="E265" s="270"/>
      <c r="F265" s="267"/>
      <c r="G265" s="273"/>
      <c r="H265" s="283"/>
      <c r="I265" s="290"/>
    </row>
    <row r="266" spans="1:9">
      <c r="A266" s="1"/>
      <c r="B266" s="1"/>
      <c r="C266" s="63"/>
      <c r="D266" s="10"/>
      <c r="E266" s="270"/>
      <c r="F266" s="267"/>
      <c r="G266" s="273"/>
      <c r="H266" s="283"/>
      <c r="I266" s="290"/>
    </row>
    <row r="267" spans="1:9">
      <c r="A267" s="1"/>
      <c r="B267" s="1"/>
      <c r="C267" s="63"/>
      <c r="D267" s="10"/>
      <c r="E267" s="270"/>
      <c r="F267" s="267"/>
      <c r="G267" s="273"/>
      <c r="H267" s="283"/>
      <c r="I267" s="290"/>
    </row>
    <row r="268" spans="1:9">
      <c r="A268" s="1"/>
      <c r="B268" s="1"/>
      <c r="C268" s="63"/>
      <c r="D268" s="10"/>
      <c r="E268" s="270"/>
      <c r="F268" s="267"/>
      <c r="G268" s="273"/>
      <c r="H268" s="283"/>
      <c r="I268" s="290"/>
    </row>
    <row r="269" spans="1:9">
      <c r="A269" s="1"/>
      <c r="B269" s="1"/>
      <c r="C269" s="63"/>
      <c r="D269" s="10"/>
      <c r="E269" s="270"/>
      <c r="F269" s="267"/>
      <c r="G269" s="273"/>
      <c r="H269" s="283"/>
      <c r="I269" s="290"/>
    </row>
    <row r="270" spans="1:9">
      <c r="A270" s="1"/>
      <c r="B270" s="1"/>
      <c r="C270" s="63"/>
      <c r="D270" s="10"/>
      <c r="E270" s="270"/>
      <c r="F270" s="267"/>
      <c r="G270" s="273"/>
      <c r="H270" s="283"/>
      <c r="I270" s="290"/>
    </row>
    <row r="271" spans="1:9">
      <c r="A271" s="1"/>
      <c r="B271" s="1"/>
      <c r="C271" s="63"/>
      <c r="D271" s="10"/>
      <c r="E271" s="270"/>
      <c r="F271" s="267"/>
      <c r="G271" s="273"/>
      <c r="H271" s="283"/>
      <c r="I271" s="290"/>
    </row>
    <row r="272" spans="1:9">
      <c r="A272" s="1"/>
      <c r="B272" s="1"/>
      <c r="C272" s="63"/>
      <c r="D272" s="10"/>
      <c r="E272" s="270"/>
      <c r="F272" s="267"/>
      <c r="G272" s="273"/>
      <c r="H272" s="283"/>
      <c r="I272" s="290"/>
    </row>
    <row r="273" spans="1:9">
      <c r="A273" s="1"/>
      <c r="B273" s="1"/>
      <c r="C273" s="63"/>
      <c r="D273" s="10"/>
      <c r="E273" s="270"/>
      <c r="F273" s="267"/>
      <c r="G273" s="273"/>
      <c r="H273" s="283"/>
      <c r="I273" s="290"/>
    </row>
    <row r="274" spans="1:9">
      <c r="A274" s="1"/>
      <c r="B274" s="1"/>
      <c r="C274" s="63"/>
      <c r="D274" s="10"/>
      <c r="E274" s="270"/>
      <c r="F274" s="267"/>
      <c r="G274" s="273"/>
      <c r="H274" s="283"/>
      <c r="I274" s="290"/>
    </row>
    <row r="275" spans="1:9">
      <c r="A275" s="1"/>
      <c r="B275" s="1"/>
      <c r="C275" s="63"/>
      <c r="D275" s="10"/>
      <c r="E275" s="270"/>
      <c r="F275" s="267"/>
      <c r="G275" s="273"/>
      <c r="H275" s="283"/>
      <c r="I275" s="290"/>
    </row>
    <row r="276" spans="1:9">
      <c r="A276" s="1"/>
      <c r="B276" s="1"/>
      <c r="C276" s="63"/>
      <c r="D276" s="10"/>
      <c r="E276" s="270"/>
      <c r="F276" s="267"/>
      <c r="G276" s="273"/>
      <c r="H276" s="283"/>
      <c r="I276" s="290"/>
    </row>
    <row r="277" spans="1:9">
      <c r="A277" s="1"/>
      <c r="B277" s="1"/>
      <c r="C277" s="63"/>
      <c r="D277" s="10"/>
      <c r="E277" s="270"/>
      <c r="F277" s="267"/>
      <c r="G277" s="273"/>
      <c r="H277" s="283"/>
      <c r="I277" s="290"/>
    </row>
    <row r="278" spans="1:9">
      <c r="A278" s="1"/>
      <c r="B278" s="1"/>
      <c r="C278" s="63"/>
      <c r="D278" s="10"/>
      <c r="E278" s="270"/>
      <c r="F278" s="267"/>
      <c r="G278" s="273"/>
      <c r="H278" s="283"/>
      <c r="I278" s="290"/>
    </row>
    <row r="279" spans="1:9">
      <c r="A279" s="1"/>
      <c r="B279" s="1"/>
      <c r="C279" s="63"/>
      <c r="D279" s="10"/>
      <c r="E279" s="270"/>
      <c r="F279" s="267"/>
      <c r="G279" s="273"/>
      <c r="H279" s="283"/>
      <c r="I279" s="290"/>
    </row>
    <row r="280" spans="1:9">
      <c r="A280" s="1"/>
      <c r="B280" s="1"/>
      <c r="C280" s="63"/>
      <c r="D280" s="10"/>
      <c r="E280" s="270"/>
      <c r="F280" s="267"/>
      <c r="G280" s="273"/>
      <c r="H280" s="283"/>
      <c r="I280" s="290"/>
    </row>
    <row r="281" spans="1:9">
      <c r="A281" s="1"/>
      <c r="B281" s="1"/>
      <c r="C281" s="63"/>
      <c r="D281" s="10"/>
      <c r="E281" s="270"/>
      <c r="F281" s="267"/>
      <c r="G281" s="273"/>
      <c r="H281" s="283"/>
      <c r="I281" s="290"/>
    </row>
    <row r="282" spans="1:9">
      <c r="A282" s="1"/>
      <c r="B282" s="1"/>
      <c r="C282" s="63"/>
      <c r="D282" s="10"/>
      <c r="E282" s="270"/>
      <c r="F282" s="267"/>
      <c r="G282" s="273"/>
      <c r="H282" s="283"/>
      <c r="I282" s="290"/>
    </row>
    <row r="283" spans="1:9">
      <c r="A283" s="1"/>
      <c r="B283" s="1"/>
      <c r="C283" s="63"/>
      <c r="D283" s="10"/>
      <c r="E283" s="270"/>
      <c r="F283" s="267"/>
      <c r="G283" s="273"/>
      <c r="H283" s="283"/>
      <c r="I283" s="290"/>
    </row>
    <row r="284" spans="1:9">
      <c r="A284" s="1"/>
      <c r="B284" s="1"/>
      <c r="C284" s="63"/>
      <c r="D284" s="10"/>
      <c r="E284" s="270"/>
      <c r="F284" s="267"/>
      <c r="G284" s="273"/>
      <c r="H284" s="283"/>
      <c r="I284" s="290"/>
    </row>
    <row r="285" spans="1:9">
      <c r="A285" s="1"/>
      <c r="B285" s="1"/>
      <c r="C285" s="63"/>
      <c r="D285" s="10"/>
      <c r="E285" s="270"/>
      <c r="F285" s="267"/>
      <c r="G285" s="273"/>
      <c r="H285" s="283"/>
      <c r="I285" s="290"/>
    </row>
    <row r="286" spans="1:9">
      <c r="A286" s="1"/>
      <c r="B286" s="1"/>
      <c r="C286" s="63"/>
      <c r="D286" s="10"/>
      <c r="E286" s="270"/>
      <c r="F286" s="267"/>
      <c r="G286" s="273"/>
      <c r="H286" s="283"/>
      <c r="I286" s="290"/>
    </row>
    <row r="287" spans="1:9">
      <c r="A287" s="1"/>
      <c r="B287" s="1"/>
      <c r="C287" s="63"/>
      <c r="D287" s="10"/>
      <c r="E287" s="270"/>
      <c r="F287" s="267"/>
      <c r="G287" s="273"/>
      <c r="H287" s="283"/>
      <c r="I287" s="290"/>
    </row>
    <row r="288" spans="1:9">
      <c r="A288" s="1"/>
      <c r="B288" s="1"/>
      <c r="C288" s="63"/>
      <c r="D288" s="10"/>
      <c r="E288" s="270"/>
      <c r="F288" s="267"/>
      <c r="G288" s="273"/>
      <c r="H288" s="283"/>
      <c r="I288" s="290"/>
    </row>
    <row r="289" spans="1:9">
      <c r="A289" s="1"/>
      <c r="B289" s="1"/>
      <c r="C289" s="63"/>
      <c r="D289" s="10"/>
      <c r="E289" s="270"/>
      <c r="F289" s="267"/>
      <c r="G289" s="273"/>
      <c r="H289" s="283"/>
      <c r="I289" s="290"/>
    </row>
    <row r="290" spans="1:9">
      <c r="A290" s="1"/>
      <c r="B290" s="1"/>
      <c r="C290" s="63"/>
      <c r="D290" s="10"/>
      <c r="E290" s="270"/>
      <c r="F290" s="267"/>
      <c r="G290" s="273"/>
      <c r="H290" s="283"/>
      <c r="I290" s="290"/>
    </row>
    <row r="291" spans="1:9">
      <c r="A291" s="1"/>
      <c r="B291" s="1"/>
      <c r="C291" s="63"/>
      <c r="D291" s="10"/>
      <c r="E291" s="270"/>
      <c r="F291" s="267"/>
      <c r="G291" s="273"/>
      <c r="H291" s="283"/>
      <c r="I291" s="290"/>
    </row>
    <row r="292" spans="1:9">
      <c r="A292" s="1"/>
      <c r="B292" s="1"/>
      <c r="C292" s="63"/>
      <c r="D292" s="10"/>
      <c r="E292" s="270"/>
      <c r="F292" s="267"/>
      <c r="G292" s="273"/>
      <c r="H292" s="283"/>
      <c r="I292" s="290"/>
    </row>
    <row r="293" spans="1:9">
      <c r="A293" s="1"/>
      <c r="B293" s="1"/>
      <c r="C293" s="63"/>
      <c r="D293" s="10"/>
      <c r="E293" s="270"/>
      <c r="F293" s="267"/>
      <c r="G293" s="273"/>
      <c r="H293" s="283"/>
      <c r="I293" s="290"/>
    </row>
    <row r="294" spans="1:9">
      <c r="A294" s="1"/>
      <c r="B294" s="1"/>
      <c r="C294" s="63"/>
      <c r="D294" s="10"/>
      <c r="E294" s="270"/>
      <c r="F294" s="267"/>
      <c r="G294" s="273"/>
      <c r="H294" s="283"/>
      <c r="I294" s="290"/>
    </row>
    <row r="295" spans="1:9">
      <c r="A295" s="1"/>
      <c r="B295" s="1"/>
      <c r="C295" s="63"/>
      <c r="D295" s="10"/>
      <c r="E295" s="270"/>
      <c r="F295" s="267"/>
      <c r="G295" s="273"/>
      <c r="H295" s="283"/>
      <c r="I295" s="290"/>
    </row>
    <row r="296" spans="1:9">
      <c r="A296" s="1"/>
      <c r="B296" s="1"/>
      <c r="C296" s="63"/>
      <c r="D296" s="10"/>
      <c r="E296" s="270"/>
      <c r="F296" s="267"/>
      <c r="G296" s="273"/>
      <c r="H296" s="283"/>
      <c r="I296" s="290"/>
    </row>
    <row r="297" spans="1:9">
      <c r="A297" s="1"/>
      <c r="B297" s="1"/>
      <c r="C297" s="63"/>
      <c r="D297" s="10"/>
      <c r="E297" s="270"/>
      <c r="F297" s="267"/>
      <c r="G297" s="273"/>
      <c r="H297" s="283"/>
      <c r="I297" s="290"/>
    </row>
    <row r="298" spans="1:9">
      <c r="A298" s="1"/>
      <c r="B298" s="1"/>
      <c r="C298" s="63"/>
      <c r="D298" s="10"/>
      <c r="E298" s="270"/>
      <c r="F298" s="267"/>
      <c r="G298" s="273"/>
      <c r="H298" s="283"/>
      <c r="I298" s="290"/>
    </row>
    <row r="299" spans="1:9">
      <c r="A299" s="1"/>
      <c r="B299" s="1"/>
      <c r="C299" s="63"/>
      <c r="D299" s="10"/>
      <c r="E299" s="270"/>
      <c r="F299" s="267"/>
      <c r="G299" s="273"/>
      <c r="H299" s="283"/>
      <c r="I299" s="290"/>
    </row>
    <row r="300" spans="1:9">
      <c r="A300" s="1"/>
      <c r="B300" s="1"/>
      <c r="C300" s="63"/>
      <c r="D300" s="10"/>
      <c r="E300" s="270"/>
      <c r="F300" s="267"/>
      <c r="G300" s="273"/>
      <c r="H300" s="283"/>
      <c r="I300" s="290"/>
    </row>
    <row r="301" spans="1:9">
      <c r="A301" s="1"/>
      <c r="B301" s="1"/>
      <c r="C301" s="63"/>
      <c r="D301" s="10"/>
      <c r="E301" s="270"/>
      <c r="F301" s="267"/>
      <c r="G301" s="273"/>
      <c r="H301" s="283"/>
      <c r="I301" s="290"/>
    </row>
    <row r="302" spans="1:9">
      <c r="A302" s="1"/>
      <c r="B302" s="1"/>
      <c r="C302" s="63"/>
      <c r="D302" s="10"/>
      <c r="E302" s="270"/>
      <c r="F302" s="267"/>
      <c r="G302" s="273"/>
      <c r="H302" s="283"/>
      <c r="I302" s="290"/>
    </row>
    <row r="303" spans="1:9">
      <c r="A303" s="1"/>
      <c r="B303" s="1"/>
      <c r="C303" s="63"/>
      <c r="D303" s="10"/>
      <c r="E303" s="270"/>
      <c r="F303" s="267"/>
      <c r="G303" s="273"/>
      <c r="H303" s="283"/>
      <c r="I303" s="290"/>
    </row>
    <row r="304" spans="1:9">
      <c r="A304" s="1"/>
      <c r="B304" s="1"/>
      <c r="C304" s="63"/>
      <c r="D304" s="10"/>
      <c r="E304" s="270"/>
      <c r="F304" s="267"/>
      <c r="G304" s="273"/>
      <c r="H304" s="283"/>
      <c r="I304" s="290"/>
    </row>
    <row r="305" spans="1:9">
      <c r="A305" s="1"/>
      <c r="B305" s="1"/>
      <c r="C305" s="63"/>
      <c r="D305" s="10"/>
      <c r="E305" s="270"/>
      <c r="F305" s="267"/>
      <c r="G305" s="273"/>
      <c r="H305" s="283"/>
      <c r="I305" s="290"/>
    </row>
    <row r="306" spans="1:9">
      <c r="A306" s="1"/>
      <c r="B306" s="1"/>
      <c r="C306" s="63"/>
      <c r="D306" s="10"/>
      <c r="E306" s="270"/>
      <c r="F306" s="267"/>
      <c r="G306" s="273"/>
      <c r="H306" s="283"/>
      <c r="I306" s="290"/>
    </row>
    <row r="307" spans="1:9">
      <c r="A307" s="1"/>
      <c r="B307" s="1"/>
      <c r="C307" s="63"/>
      <c r="D307" s="10"/>
      <c r="E307" s="270"/>
      <c r="F307" s="267"/>
      <c r="G307" s="273"/>
      <c r="H307" s="283"/>
      <c r="I307" s="290"/>
    </row>
    <row r="308" spans="1:9">
      <c r="A308" s="1"/>
      <c r="B308" s="1"/>
      <c r="C308" s="63"/>
      <c r="D308" s="10"/>
      <c r="E308" s="270"/>
      <c r="F308" s="267"/>
      <c r="G308" s="273"/>
      <c r="H308" s="283"/>
      <c r="I308" s="290"/>
    </row>
    <row r="309" spans="1:9">
      <c r="A309" s="1"/>
      <c r="B309" s="1"/>
      <c r="C309" s="63"/>
      <c r="D309" s="10"/>
      <c r="E309" s="270"/>
      <c r="F309" s="267"/>
      <c r="G309" s="273"/>
      <c r="H309" s="283"/>
      <c r="I309" s="290"/>
    </row>
    <row r="310" spans="1:9">
      <c r="A310" s="1"/>
      <c r="B310" s="1"/>
      <c r="C310" s="63"/>
      <c r="D310" s="10"/>
      <c r="E310" s="270"/>
      <c r="F310" s="267"/>
      <c r="G310" s="273"/>
      <c r="H310" s="283"/>
      <c r="I310" s="290"/>
    </row>
    <row r="311" spans="1:9">
      <c r="A311" s="1"/>
      <c r="B311" s="1"/>
      <c r="C311" s="63"/>
      <c r="D311" s="10"/>
      <c r="E311" s="270"/>
      <c r="F311" s="267"/>
      <c r="G311" s="273"/>
      <c r="H311" s="283"/>
      <c r="I311" s="290"/>
    </row>
    <row r="312" spans="1:9">
      <c r="A312" s="1"/>
      <c r="B312" s="1"/>
      <c r="C312" s="63"/>
      <c r="D312" s="10"/>
      <c r="E312" s="270"/>
      <c r="F312" s="267"/>
      <c r="G312" s="273"/>
      <c r="H312" s="283"/>
      <c r="I312" s="290"/>
    </row>
    <row r="313" spans="1:9">
      <c r="A313" s="1"/>
      <c r="B313" s="1"/>
      <c r="C313" s="63"/>
      <c r="D313" s="10"/>
      <c r="E313" s="270"/>
      <c r="F313" s="267"/>
      <c r="G313" s="273"/>
      <c r="H313" s="283"/>
      <c r="I313" s="290"/>
    </row>
    <row r="314" spans="1:9">
      <c r="A314" s="1"/>
      <c r="B314" s="1"/>
      <c r="C314" s="63"/>
      <c r="D314" s="10"/>
      <c r="E314" s="270"/>
      <c r="F314" s="267"/>
      <c r="G314" s="273"/>
      <c r="H314" s="283"/>
      <c r="I314" s="290"/>
    </row>
    <row r="315" spans="1:9">
      <c r="A315" s="1"/>
      <c r="B315" s="1"/>
      <c r="C315" s="63"/>
      <c r="D315" s="10"/>
      <c r="E315" s="270"/>
      <c r="F315" s="267"/>
      <c r="G315" s="273"/>
      <c r="H315" s="283"/>
      <c r="I315" s="290"/>
    </row>
    <row r="316" spans="1:9">
      <c r="A316" s="1"/>
      <c r="B316" s="1"/>
      <c r="C316" s="63"/>
      <c r="D316" s="10"/>
      <c r="E316" s="270"/>
      <c r="F316" s="267"/>
      <c r="G316" s="273"/>
      <c r="H316" s="283"/>
      <c r="I316" s="290"/>
    </row>
    <row r="317" spans="1:9">
      <c r="A317" s="1"/>
      <c r="B317" s="1"/>
      <c r="C317" s="63"/>
      <c r="D317" s="10"/>
      <c r="E317" s="270"/>
      <c r="F317" s="267"/>
      <c r="G317" s="273"/>
      <c r="H317" s="283"/>
      <c r="I317" s="290"/>
    </row>
    <row r="318" spans="1:9">
      <c r="A318" s="1"/>
      <c r="B318" s="1"/>
      <c r="C318" s="63"/>
      <c r="D318" s="10"/>
      <c r="E318" s="270"/>
      <c r="F318" s="267"/>
      <c r="G318" s="273"/>
      <c r="H318" s="283"/>
      <c r="I318" s="290"/>
    </row>
    <row r="319" spans="1:9">
      <c r="A319" s="1"/>
      <c r="B319" s="1"/>
      <c r="C319" s="63"/>
      <c r="D319" s="10"/>
      <c r="E319" s="270"/>
      <c r="F319" s="267"/>
      <c r="G319" s="273"/>
      <c r="H319" s="283"/>
      <c r="I319" s="290"/>
    </row>
    <row r="320" spans="1:9">
      <c r="A320" s="1"/>
      <c r="B320" s="1"/>
      <c r="C320" s="63"/>
      <c r="D320" s="10"/>
      <c r="E320" s="270"/>
      <c r="F320" s="267"/>
      <c r="G320" s="273"/>
      <c r="H320" s="283"/>
      <c r="I320" s="290"/>
    </row>
    <row r="321" spans="1:9">
      <c r="A321" s="1"/>
      <c r="B321" s="1"/>
      <c r="C321" s="63"/>
      <c r="D321" s="10"/>
      <c r="E321" s="270"/>
      <c r="F321" s="267"/>
      <c r="G321" s="273"/>
      <c r="H321" s="283"/>
      <c r="I321" s="290"/>
    </row>
    <row r="322" spans="1:9">
      <c r="A322" s="1"/>
      <c r="B322" s="1"/>
      <c r="C322" s="63"/>
      <c r="D322" s="10"/>
      <c r="E322" s="270"/>
      <c r="F322" s="267"/>
      <c r="G322" s="273"/>
      <c r="H322" s="283"/>
      <c r="I322" s="290"/>
    </row>
    <row r="323" spans="1:9">
      <c r="A323" s="1"/>
      <c r="B323" s="1"/>
      <c r="C323" s="63"/>
      <c r="D323" s="10"/>
      <c r="E323" s="270"/>
      <c r="F323" s="267"/>
      <c r="G323" s="273"/>
      <c r="H323" s="283"/>
      <c r="I323" s="290"/>
    </row>
    <row r="324" spans="1:9">
      <c r="A324" s="1"/>
      <c r="B324" s="1"/>
      <c r="C324" s="63"/>
      <c r="D324" s="10"/>
      <c r="E324" s="270"/>
      <c r="F324" s="267"/>
      <c r="G324" s="273"/>
      <c r="H324" s="283"/>
      <c r="I324" s="290"/>
    </row>
    <row r="325" spans="1:9">
      <c r="A325" s="1"/>
      <c r="B325" s="1"/>
      <c r="C325" s="63"/>
      <c r="D325" s="10"/>
      <c r="E325" s="270"/>
      <c r="F325" s="267"/>
      <c r="G325" s="273"/>
      <c r="H325" s="283"/>
      <c r="I325" s="290"/>
    </row>
    <row r="326" spans="1:9">
      <c r="A326" s="1"/>
      <c r="B326" s="1"/>
      <c r="C326" s="63"/>
      <c r="D326" s="10"/>
      <c r="E326" s="270"/>
      <c r="F326" s="267"/>
      <c r="G326" s="273"/>
      <c r="H326" s="283"/>
      <c r="I326" s="290"/>
    </row>
    <row r="327" spans="1:9">
      <c r="A327" s="1"/>
      <c r="B327" s="1"/>
      <c r="C327" s="63"/>
      <c r="D327" s="10"/>
      <c r="E327" s="270"/>
      <c r="F327" s="267"/>
      <c r="G327" s="273"/>
      <c r="H327" s="283"/>
      <c r="I327" s="290"/>
    </row>
    <row r="328" spans="1:9">
      <c r="A328" s="1"/>
      <c r="B328" s="1"/>
      <c r="C328" s="63"/>
      <c r="D328" s="10"/>
      <c r="E328" s="270"/>
      <c r="F328" s="267"/>
      <c r="G328" s="273"/>
      <c r="H328" s="283"/>
      <c r="I328" s="290"/>
    </row>
    <row r="329" spans="1:9">
      <c r="A329" s="1"/>
      <c r="B329" s="1"/>
      <c r="C329" s="63"/>
      <c r="D329" s="10"/>
      <c r="E329" s="270"/>
      <c r="F329" s="267"/>
      <c r="G329" s="273"/>
      <c r="H329" s="283"/>
      <c r="I329" s="290"/>
    </row>
    <row r="330" spans="1:9">
      <c r="A330" s="1"/>
      <c r="B330" s="1"/>
      <c r="C330" s="63"/>
      <c r="D330" s="10"/>
      <c r="E330" s="270"/>
      <c r="F330" s="267"/>
      <c r="G330" s="273"/>
      <c r="H330" s="283"/>
      <c r="I330" s="290"/>
    </row>
    <row r="331" spans="1:9">
      <c r="A331" s="1"/>
      <c r="B331" s="1"/>
      <c r="C331" s="63"/>
      <c r="D331" s="10"/>
      <c r="E331" s="270"/>
      <c r="F331" s="267"/>
      <c r="G331" s="273"/>
      <c r="H331" s="283"/>
      <c r="I331" s="290"/>
    </row>
    <row r="332" spans="1:9">
      <c r="A332" s="1"/>
      <c r="B332" s="1"/>
      <c r="C332" s="63"/>
      <c r="D332" s="10"/>
      <c r="E332" s="270"/>
      <c r="F332" s="267"/>
      <c r="G332" s="273"/>
      <c r="H332" s="283"/>
      <c r="I332" s="290"/>
    </row>
    <row r="333" spans="1:9">
      <c r="A333" s="1"/>
      <c r="B333" s="1"/>
      <c r="C333" s="63"/>
      <c r="D333" s="10"/>
      <c r="E333" s="270"/>
      <c r="F333" s="267"/>
      <c r="G333" s="273"/>
      <c r="H333" s="283"/>
      <c r="I333" s="290"/>
    </row>
    <row r="334" spans="1:9">
      <c r="A334" s="1"/>
      <c r="B334" s="1"/>
      <c r="C334" s="63"/>
      <c r="D334" s="10"/>
      <c r="E334" s="270"/>
      <c r="F334" s="267"/>
      <c r="G334" s="273"/>
      <c r="H334" s="283"/>
      <c r="I334" s="290"/>
    </row>
    <row r="335" spans="1:9">
      <c r="A335" s="1"/>
      <c r="B335" s="1"/>
      <c r="C335" s="63"/>
      <c r="D335" s="10"/>
      <c r="E335" s="270"/>
      <c r="F335" s="267"/>
      <c r="G335" s="273"/>
      <c r="H335" s="283"/>
      <c r="I335" s="290"/>
    </row>
    <row r="336" spans="1:9">
      <c r="A336" s="1"/>
      <c r="B336" s="1"/>
      <c r="C336" s="63"/>
      <c r="D336" s="10"/>
      <c r="E336" s="270"/>
      <c r="F336" s="267"/>
      <c r="G336" s="273"/>
      <c r="H336" s="283"/>
      <c r="I336" s="290"/>
    </row>
    <row r="337" spans="1:9">
      <c r="A337" s="1"/>
      <c r="B337" s="1"/>
      <c r="C337" s="63"/>
      <c r="D337" s="10"/>
      <c r="E337" s="270"/>
      <c r="F337" s="267"/>
      <c r="G337" s="273"/>
      <c r="H337" s="283"/>
      <c r="I337" s="290"/>
    </row>
    <row r="338" spans="1:9">
      <c r="A338" s="1"/>
      <c r="B338" s="1"/>
      <c r="C338" s="63"/>
      <c r="D338" s="10"/>
      <c r="E338" s="270"/>
      <c r="F338" s="267"/>
      <c r="G338" s="273"/>
      <c r="H338" s="283"/>
      <c r="I338" s="290"/>
    </row>
    <row r="339" spans="1:9">
      <c r="A339" s="1"/>
      <c r="B339" s="1"/>
      <c r="C339" s="63"/>
      <c r="D339" s="10"/>
      <c r="E339" s="270"/>
      <c r="F339" s="267"/>
      <c r="G339" s="273"/>
      <c r="H339" s="283"/>
      <c r="I339" s="290"/>
    </row>
    <row r="340" spans="1:9">
      <c r="A340" s="1"/>
      <c r="B340" s="1"/>
      <c r="C340" s="63"/>
      <c r="D340" s="10"/>
      <c r="E340" s="270"/>
      <c r="F340" s="267"/>
      <c r="G340" s="273"/>
      <c r="H340" s="283"/>
      <c r="I340" s="290"/>
    </row>
    <row r="341" spans="1:9">
      <c r="A341" s="1"/>
      <c r="B341" s="1"/>
      <c r="C341" s="63"/>
      <c r="D341" s="10"/>
      <c r="E341" s="270"/>
      <c r="F341" s="267"/>
      <c r="G341" s="273"/>
      <c r="H341" s="283"/>
      <c r="I341" s="290"/>
    </row>
    <row r="342" spans="1:9">
      <c r="A342" s="1"/>
      <c r="B342" s="1"/>
      <c r="C342" s="63"/>
      <c r="D342" s="10"/>
      <c r="E342" s="270"/>
      <c r="F342" s="267"/>
      <c r="G342" s="273"/>
      <c r="H342" s="283"/>
      <c r="I342" s="290"/>
    </row>
    <row r="343" spans="1:9">
      <c r="A343" s="1"/>
      <c r="B343" s="1"/>
      <c r="C343" s="63"/>
      <c r="D343" s="10"/>
      <c r="E343" s="270"/>
      <c r="F343" s="267"/>
      <c r="G343" s="273"/>
      <c r="H343" s="283"/>
      <c r="I343" s="290"/>
    </row>
    <row r="344" spans="1:9">
      <c r="A344" s="1"/>
      <c r="B344" s="1"/>
      <c r="C344" s="63"/>
      <c r="D344" s="10"/>
      <c r="E344" s="270"/>
      <c r="F344" s="267"/>
      <c r="G344" s="273"/>
      <c r="H344" s="283"/>
      <c r="I344" s="290"/>
    </row>
    <row r="345" spans="1:9">
      <c r="A345" s="1"/>
      <c r="B345" s="1"/>
      <c r="C345" s="63"/>
      <c r="D345" s="10"/>
      <c r="E345" s="270"/>
      <c r="F345" s="267"/>
      <c r="G345" s="273"/>
      <c r="H345" s="283"/>
      <c r="I345" s="290"/>
    </row>
    <row r="346" spans="1:9">
      <c r="A346" s="1"/>
      <c r="B346" s="1"/>
      <c r="C346" s="63"/>
      <c r="D346" s="10"/>
      <c r="E346" s="270"/>
      <c r="F346" s="267"/>
      <c r="G346" s="273"/>
      <c r="H346" s="283"/>
      <c r="I346" s="290"/>
    </row>
    <row r="347" spans="1:9">
      <c r="A347" s="1"/>
      <c r="B347" s="1"/>
      <c r="C347" s="63"/>
      <c r="D347" s="10"/>
      <c r="E347" s="270"/>
      <c r="F347" s="267"/>
      <c r="G347" s="273"/>
      <c r="H347" s="283"/>
      <c r="I347" s="290"/>
    </row>
    <row r="348" spans="1:9">
      <c r="A348" s="1"/>
      <c r="B348" s="1"/>
      <c r="C348" s="63"/>
      <c r="D348" s="10"/>
      <c r="E348" s="270"/>
      <c r="F348" s="267"/>
      <c r="G348" s="273"/>
      <c r="H348" s="283"/>
      <c r="I348" s="290"/>
    </row>
    <row r="349" spans="1:9">
      <c r="A349" s="1"/>
      <c r="B349" s="1"/>
      <c r="C349" s="63"/>
      <c r="D349" s="10"/>
      <c r="E349" s="270"/>
      <c r="F349" s="267"/>
      <c r="G349" s="273"/>
      <c r="H349" s="283"/>
      <c r="I349" s="290"/>
    </row>
    <row r="350" spans="1:9">
      <c r="A350" s="1"/>
      <c r="B350" s="1"/>
      <c r="C350" s="63"/>
      <c r="D350" s="10"/>
      <c r="E350" s="270"/>
      <c r="F350" s="267"/>
      <c r="G350" s="273"/>
      <c r="H350" s="283"/>
      <c r="I350" s="290"/>
    </row>
    <row r="351" spans="1:9">
      <c r="A351" s="1"/>
      <c r="B351" s="1"/>
      <c r="C351" s="63"/>
      <c r="D351" s="10"/>
      <c r="E351" s="270"/>
      <c r="F351" s="267"/>
      <c r="G351" s="273"/>
      <c r="H351" s="283"/>
      <c r="I351" s="290"/>
    </row>
    <row r="352" spans="1:9">
      <c r="A352" s="1"/>
      <c r="B352" s="1"/>
      <c r="C352" s="63"/>
      <c r="D352" s="10"/>
      <c r="E352" s="270"/>
      <c r="F352" s="267"/>
      <c r="G352" s="273"/>
      <c r="H352" s="283"/>
      <c r="I352" s="290"/>
    </row>
    <row r="353" spans="1:9">
      <c r="A353" s="1"/>
      <c r="B353" s="1"/>
      <c r="C353" s="63"/>
      <c r="D353" s="10"/>
      <c r="E353" s="270"/>
      <c r="F353" s="267"/>
      <c r="G353" s="273"/>
      <c r="H353" s="283"/>
      <c r="I353" s="290"/>
    </row>
    <row r="354" spans="1:9">
      <c r="A354" s="1"/>
      <c r="B354" s="1"/>
      <c r="C354" s="63"/>
      <c r="D354" s="10"/>
      <c r="E354" s="270"/>
      <c r="F354" s="267"/>
      <c r="G354" s="273"/>
      <c r="H354" s="283"/>
      <c r="I354" s="290"/>
    </row>
    <row r="355" spans="1:9">
      <c r="A355" s="1"/>
      <c r="B355" s="1"/>
      <c r="C355" s="63"/>
      <c r="D355" s="10"/>
      <c r="E355" s="270"/>
      <c r="F355" s="267"/>
      <c r="G355" s="273"/>
      <c r="H355" s="283"/>
      <c r="I355" s="290"/>
    </row>
    <row r="356" spans="1:9">
      <c r="A356" s="1"/>
      <c r="B356" s="1"/>
      <c r="C356" s="63"/>
      <c r="D356" s="10"/>
      <c r="E356" s="270"/>
      <c r="F356" s="267"/>
      <c r="G356" s="273"/>
      <c r="H356" s="283"/>
      <c r="I356" s="290"/>
    </row>
    <row r="357" spans="1:9">
      <c r="A357" s="1"/>
      <c r="B357" s="1"/>
      <c r="C357" s="63"/>
      <c r="D357" s="10"/>
      <c r="E357" s="270"/>
      <c r="F357" s="267"/>
      <c r="G357" s="273"/>
      <c r="H357" s="283"/>
      <c r="I357" s="290"/>
    </row>
    <row r="358" spans="1:9">
      <c r="A358" s="1"/>
      <c r="B358" s="1"/>
      <c r="C358" s="63"/>
      <c r="D358" s="10"/>
      <c r="E358" s="270"/>
      <c r="F358" s="267"/>
      <c r="G358" s="273"/>
      <c r="H358" s="283"/>
      <c r="I358" s="290"/>
    </row>
    <row r="359" spans="1:9">
      <c r="A359" s="1"/>
      <c r="B359" s="1"/>
      <c r="C359" s="63"/>
      <c r="D359" s="10"/>
      <c r="E359" s="270"/>
      <c r="F359" s="267"/>
      <c r="G359" s="273"/>
      <c r="H359" s="283"/>
      <c r="I359" s="290"/>
    </row>
    <row r="360" spans="1:9">
      <c r="A360" s="1"/>
      <c r="B360" s="1"/>
      <c r="C360" s="63"/>
      <c r="D360" s="10"/>
      <c r="E360" s="270"/>
      <c r="F360" s="267"/>
      <c r="G360" s="273"/>
      <c r="H360" s="283"/>
      <c r="I360" s="290"/>
    </row>
    <row r="361" spans="1:9">
      <c r="A361" s="1"/>
      <c r="B361" s="1"/>
      <c r="C361" s="63"/>
      <c r="D361" s="10"/>
      <c r="E361" s="270"/>
      <c r="F361" s="267"/>
      <c r="G361" s="273"/>
      <c r="H361" s="283"/>
      <c r="I361" s="290"/>
    </row>
    <row r="362" spans="1:9">
      <c r="A362" s="1"/>
      <c r="B362" s="1"/>
      <c r="C362" s="63"/>
      <c r="D362" s="10"/>
      <c r="E362" s="270"/>
      <c r="F362" s="267"/>
      <c r="G362" s="273"/>
      <c r="H362" s="283"/>
      <c r="I362" s="290"/>
    </row>
    <row r="363" spans="1:9">
      <c r="A363" s="1"/>
      <c r="B363" s="1"/>
      <c r="C363" s="63"/>
      <c r="D363" s="10"/>
      <c r="E363" s="270"/>
      <c r="F363" s="267"/>
      <c r="G363" s="273"/>
      <c r="H363" s="283"/>
      <c r="I363" s="290"/>
    </row>
    <row r="364" spans="1:9">
      <c r="A364" s="1"/>
      <c r="B364" s="1"/>
      <c r="C364" s="63"/>
      <c r="D364" s="10"/>
      <c r="E364" s="270"/>
      <c r="F364" s="267"/>
      <c r="G364" s="273"/>
      <c r="H364" s="283"/>
      <c r="I364" s="290"/>
    </row>
    <row r="365" spans="1:9">
      <c r="A365" s="1"/>
      <c r="B365" s="1"/>
      <c r="C365" s="63"/>
      <c r="D365" s="10"/>
      <c r="E365" s="270"/>
      <c r="F365" s="267"/>
      <c r="G365" s="273"/>
      <c r="H365" s="283"/>
      <c r="I365" s="290"/>
    </row>
    <row r="366" spans="1:9">
      <c r="A366" s="1"/>
      <c r="B366" s="1"/>
      <c r="C366" s="63"/>
      <c r="D366" s="10"/>
      <c r="E366" s="270"/>
      <c r="F366" s="267"/>
      <c r="G366" s="273"/>
      <c r="H366" s="283"/>
      <c r="I366" s="290"/>
    </row>
    <row r="367" spans="1:9">
      <c r="A367" s="1"/>
      <c r="B367" s="1"/>
      <c r="C367" s="63"/>
      <c r="D367" s="10"/>
      <c r="E367" s="270"/>
      <c r="F367" s="267"/>
      <c r="G367" s="273"/>
      <c r="H367" s="283"/>
      <c r="I367" s="290"/>
    </row>
    <row r="368" spans="1:9">
      <c r="A368" s="1"/>
      <c r="B368" s="1"/>
      <c r="C368" s="63"/>
      <c r="D368" s="10"/>
      <c r="E368" s="270"/>
      <c r="F368" s="267"/>
      <c r="G368" s="273"/>
      <c r="H368" s="283"/>
      <c r="I368" s="290"/>
    </row>
    <row r="369" spans="1:9">
      <c r="A369" s="1"/>
      <c r="B369" s="1"/>
      <c r="C369" s="63"/>
      <c r="D369" s="10"/>
      <c r="E369" s="270"/>
      <c r="F369" s="267"/>
      <c r="G369" s="273"/>
      <c r="H369" s="283"/>
      <c r="I369" s="290"/>
    </row>
    <row r="370" spans="1:9">
      <c r="A370" s="1"/>
      <c r="B370" s="1"/>
      <c r="C370" s="63"/>
      <c r="D370" s="10"/>
      <c r="E370" s="270"/>
      <c r="F370" s="267"/>
      <c r="G370" s="273"/>
      <c r="H370" s="283"/>
      <c r="I370" s="290"/>
    </row>
    <row r="371" spans="1:9">
      <c r="A371" s="1"/>
      <c r="B371" s="1"/>
      <c r="C371" s="63"/>
      <c r="D371" s="10"/>
      <c r="E371" s="270"/>
      <c r="F371" s="267"/>
      <c r="G371" s="273"/>
      <c r="H371" s="283"/>
      <c r="I371" s="290"/>
    </row>
    <row r="372" spans="1:9">
      <c r="A372" s="1"/>
      <c r="B372" s="1"/>
      <c r="C372" s="63"/>
      <c r="D372" s="10"/>
      <c r="E372" s="270"/>
      <c r="F372" s="267"/>
      <c r="G372" s="273"/>
      <c r="H372" s="283"/>
      <c r="I372" s="290"/>
    </row>
    <row r="373" spans="1:9">
      <c r="A373" s="1"/>
      <c r="B373" s="1"/>
      <c r="C373" s="63"/>
      <c r="D373" s="10"/>
      <c r="E373" s="270"/>
      <c r="F373" s="267"/>
      <c r="G373" s="273"/>
      <c r="H373" s="283"/>
      <c r="I373" s="290"/>
    </row>
    <row r="374" spans="1:9">
      <c r="A374" s="1"/>
      <c r="B374" s="1"/>
      <c r="C374" s="63"/>
      <c r="D374" s="10"/>
      <c r="E374" s="270"/>
      <c r="F374" s="267"/>
      <c r="G374" s="273"/>
      <c r="H374" s="283"/>
      <c r="I374" s="290"/>
    </row>
    <row r="375" spans="1:9">
      <c r="A375" s="1"/>
      <c r="B375" s="1"/>
      <c r="C375" s="63"/>
      <c r="D375" s="10"/>
      <c r="E375" s="270"/>
      <c r="F375" s="267"/>
      <c r="G375" s="273"/>
      <c r="H375" s="283"/>
      <c r="I375" s="290"/>
    </row>
    <row r="376" spans="1:9">
      <c r="A376" s="1"/>
      <c r="B376" s="1"/>
      <c r="C376" s="63"/>
      <c r="D376" s="10"/>
      <c r="E376" s="270"/>
      <c r="F376" s="267"/>
      <c r="G376" s="273"/>
      <c r="H376" s="283"/>
      <c r="I376" s="290"/>
    </row>
    <row r="377" spans="1:9">
      <c r="A377" s="1"/>
      <c r="B377" s="1"/>
      <c r="C377" s="63"/>
      <c r="D377" s="10"/>
      <c r="E377" s="270"/>
      <c r="F377" s="267"/>
      <c r="G377" s="273"/>
      <c r="H377" s="283"/>
      <c r="I377" s="290"/>
    </row>
    <row r="378" spans="1:9">
      <c r="A378" s="1"/>
      <c r="B378" s="1"/>
      <c r="C378" s="63"/>
      <c r="D378" s="10"/>
      <c r="E378" s="270"/>
      <c r="F378" s="267"/>
      <c r="G378" s="273"/>
      <c r="H378" s="283"/>
      <c r="I378" s="290"/>
    </row>
    <row r="379" spans="1:9">
      <c r="A379" s="1"/>
      <c r="B379" s="1"/>
      <c r="C379" s="63"/>
      <c r="D379" s="10"/>
      <c r="E379" s="270"/>
      <c r="F379" s="267"/>
      <c r="G379" s="273"/>
      <c r="H379" s="283"/>
      <c r="I379" s="290"/>
    </row>
    <row r="380" spans="1:9">
      <c r="A380" s="1"/>
      <c r="B380" s="1"/>
      <c r="C380" s="63"/>
      <c r="D380" s="10"/>
      <c r="E380" s="270"/>
      <c r="F380" s="267"/>
      <c r="G380" s="273"/>
      <c r="H380" s="283"/>
      <c r="I380" s="290"/>
    </row>
    <row r="381" spans="1:9">
      <c r="A381" s="1"/>
      <c r="B381" s="1"/>
      <c r="C381" s="63"/>
      <c r="D381" s="10"/>
      <c r="E381" s="270"/>
      <c r="F381" s="267"/>
      <c r="G381" s="273"/>
      <c r="H381" s="283"/>
      <c r="I381" s="290"/>
    </row>
    <row r="382" spans="1:9">
      <c r="A382" s="1"/>
      <c r="B382" s="1"/>
      <c r="C382" s="63"/>
      <c r="D382" s="10"/>
      <c r="E382" s="270"/>
      <c r="F382" s="267"/>
      <c r="G382" s="273"/>
      <c r="H382" s="283"/>
      <c r="I382" s="290"/>
    </row>
    <row r="383" spans="1:9">
      <c r="A383" s="1"/>
      <c r="B383" s="1"/>
      <c r="C383" s="63"/>
      <c r="D383" s="10"/>
      <c r="E383" s="270"/>
      <c r="F383" s="267"/>
      <c r="G383" s="273"/>
      <c r="H383" s="283"/>
      <c r="I383" s="290"/>
    </row>
    <row r="384" spans="1:9">
      <c r="A384" s="1"/>
      <c r="B384" s="1"/>
      <c r="C384" s="63"/>
      <c r="D384" s="10"/>
      <c r="E384" s="270"/>
      <c r="F384" s="267"/>
      <c r="G384" s="273"/>
      <c r="H384" s="283"/>
      <c r="I384" s="290"/>
    </row>
    <row r="385" spans="1:9">
      <c r="A385" s="1"/>
      <c r="B385" s="1"/>
      <c r="C385" s="63"/>
      <c r="D385" s="10"/>
      <c r="E385" s="270"/>
      <c r="F385" s="267"/>
      <c r="G385" s="273"/>
      <c r="H385" s="283"/>
      <c r="I385" s="290"/>
    </row>
    <row r="386" spans="1:9">
      <c r="A386" s="1"/>
      <c r="B386" s="1"/>
      <c r="C386" s="63"/>
      <c r="D386" s="10"/>
      <c r="E386" s="270"/>
      <c r="F386" s="267"/>
      <c r="G386" s="273"/>
      <c r="H386" s="283"/>
      <c r="I386" s="290"/>
    </row>
    <row r="387" spans="1:9">
      <c r="A387" s="1"/>
      <c r="B387" s="1"/>
      <c r="C387" s="63"/>
      <c r="D387" s="10"/>
      <c r="E387" s="270"/>
      <c r="F387" s="267"/>
      <c r="G387" s="273"/>
      <c r="H387" s="283"/>
      <c r="I387" s="290"/>
    </row>
    <row r="388" spans="1:9">
      <c r="A388" s="1"/>
      <c r="B388" s="1"/>
      <c r="C388" s="63"/>
      <c r="D388" s="10"/>
      <c r="E388" s="270"/>
      <c r="F388" s="267"/>
      <c r="G388" s="273"/>
      <c r="H388" s="283"/>
      <c r="I388" s="290"/>
    </row>
    <row r="389" spans="1:9">
      <c r="A389" s="1"/>
      <c r="B389" s="1"/>
      <c r="C389" s="63"/>
      <c r="D389" s="10"/>
      <c r="E389" s="270"/>
      <c r="F389" s="267"/>
      <c r="G389" s="273"/>
      <c r="H389" s="283"/>
      <c r="I389" s="290"/>
    </row>
    <row r="390" spans="1:9">
      <c r="A390" s="1"/>
      <c r="B390" s="1"/>
      <c r="C390" s="63"/>
      <c r="D390" s="10"/>
      <c r="E390" s="270"/>
      <c r="F390" s="267"/>
      <c r="G390" s="273"/>
      <c r="H390" s="283"/>
      <c r="I390" s="290"/>
    </row>
    <row r="391" spans="1:9">
      <c r="A391" s="1"/>
      <c r="B391" s="1"/>
      <c r="C391" s="63"/>
      <c r="D391" s="10"/>
      <c r="E391" s="270"/>
      <c r="F391" s="267"/>
      <c r="G391" s="273"/>
      <c r="H391" s="283"/>
      <c r="I391" s="290"/>
    </row>
    <row r="392" spans="1:9">
      <c r="A392" s="1"/>
      <c r="B392" s="1"/>
      <c r="C392" s="63"/>
      <c r="D392" s="10"/>
      <c r="E392" s="270"/>
      <c r="F392" s="267"/>
      <c r="G392" s="273"/>
      <c r="H392" s="283"/>
      <c r="I392" s="290"/>
    </row>
    <row r="393" spans="1:9">
      <c r="A393" s="1"/>
      <c r="B393" s="1"/>
      <c r="C393" s="63"/>
      <c r="D393" s="10"/>
      <c r="E393" s="270"/>
      <c r="F393" s="267"/>
      <c r="G393" s="273"/>
      <c r="H393" s="283"/>
      <c r="I393" s="290"/>
    </row>
    <row r="394" spans="1:9">
      <c r="A394" s="1"/>
      <c r="B394" s="1"/>
      <c r="C394" s="63"/>
      <c r="D394" s="10"/>
      <c r="E394" s="270"/>
      <c r="F394" s="267"/>
      <c r="G394" s="273"/>
      <c r="H394" s="283"/>
      <c r="I394" s="290"/>
    </row>
    <row r="395" spans="1:9">
      <c r="A395" s="1"/>
      <c r="B395" s="1"/>
      <c r="C395" s="63"/>
      <c r="D395" s="10"/>
      <c r="E395" s="270"/>
      <c r="F395" s="267"/>
      <c r="G395" s="273"/>
      <c r="H395" s="283"/>
      <c r="I395" s="290"/>
    </row>
    <row r="396" spans="1:9">
      <c r="A396" s="1"/>
      <c r="B396" s="1"/>
      <c r="C396" s="63"/>
      <c r="D396" s="10"/>
      <c r="E396" s="270"/>
      <c r="F396" s="267"/>
      <c r="G396" s="273"/>
      <c r="H396" s="283"/>
      <c r="I396" s="290"/>
    </row>
    <row r="397" spans="1:9">
      <c r="A397" s="1"/>
      <c r="B397" s="1"/>
      <c r="C397" s="63"/>
      <c r="D397" s="10"/>
      <c r="E397" s="270"/>
      <c r="F397" s="267"/>
      <c r="G397" s="273"/>
      <c r="H397" s="283"/>
      <c r="I397" s="290"/>
    </row>
    <row r="398" spans="1:9">
      <c r="A398" s="1"/>
      <c r="B398" s="1"/>
      <c r="C398" s="63"/>
      <c r="D398" s="10"/>
      <c r="E398" s="270"/>
      <c r="F398" s="267"/>
      <c r="G398" s="273"/>
      <c r="H398" s="283"/>
      <c r="I398" s="290"/>
    </row>
    <row r="399" spans="1:9">
      <c r="A399" s="1"/>
      <c r="B399" s="1"/>
      <c r="C399" s="63"/>
      <c r="D399" s="10"/>
      <c r="E399" s="270"/>
      <c r="F399" s="267"/>
      <c r="G399" s="273"/>
      <c r="H399" s="283"/>
      <c r="I399" s="290"/>
    </row>
    <row r="400" spans="1:9">
      <c r="A400" s="1"/>
      <c r="B400" s="1"/>
      <c r="C400" s="63"/>
      <c r="D400" s="10"/>
      <c r="E400" s="270"/>
      <c r="F400" s="267"/>
      <c r="G400" s="273"/>
      <c r="H400" s="283"/>
      <c r="I400" s="290"/>
    </row>
    <row r="401" spans="1:9">
      <c r="A401" s="1"/>
      <c r="B401" s="1"/>
      <c r="C401" s="63"/>
      <c r="D401" s="10"/>
      <c r="E401" s="270"/>
      <c r="F401" s="267"/>
      <c r="G401" s="273"/>
      <c r="H401" s="283"/>
      <c r="I401" s="290"/>
    </row>
    <row r="402" spans="1:9">
      <c r="A402" s="1"/>
      <c r="B402" s="1"/>
      <c r="C402" s="63"/>
      <c r="D402" s="10"/>
      <c r="E402" s="270"/>
      <c r="F402" s="267"/>
      <c r="G402" s="273"/>
      <c r="H402" s="283"/>
      <c r="I402" s="290"/>
    </row>
    <row r="403" spans="1:9">
      <c r="A403" s="1"/>
      <c r="B403" s="1"/>
      <c r="C403" s="63"/>
      <c r="D403" s="10"/>
      <c r="E403" s="270"/>
      <c r="F403" s="267"/>
      <c r="G403" s="273"/>
      <c r="H403" s="283"/>
      <c r="I403" s="290"/>
    </row>
    <row r="404" spans="1:9">
      <c r="A404" s="1"/>
      <c r="B404" s="1"/>
      <c r="C404" s="63"/>
      <c r="D404" s="10"/>
      <c r="E404" s="270"/>
      <c r="F404" s="267"/>
      <c r="G404" s="273"/>
      <c r="H404" s="283"/>
      <c r="I404" s="290"/>
    </row>
    <row r="405" spans="1:9">
      <c r="A405" s="1"/>
      <c r="B405" s="1"/>
      <c r="C405" s="63"/>
      <c r="D405" s="10"/>
      <c r="E405" s="270"/>
      <c r="F405" s="267"/>
      <c r="G405" s="273"/>
      <c r="H405" s="283"/>
      <c r="I405" s="290"/>
    </row>
    <row r="406" spans="1:9">
      <c r="A406" s="1"/>
      <c r="B406" s="1"/>
      <c r="C406" s="63"/>
      <c r="D406" s="10"/>
      <c r="E406" s="270"/>
      <c r="F406" s="267"/>
      <c r="G406" s="273"/>
      <c r="H406" s="283"/>
      <c r="I406" s="290"/>
    </row>
    <row r="407" spans="1:9">
      <c r="A407" s="1"/>
      <c r="B407" s="1"/>
      <c r="C407" s="63"/>
      <c r="D407" s="10"/>
      <c r="E407" s="270"/>
      <c r="F407" s="267"/>
      <c r="G407" s="273"/>
      <c r="H407" s="283"/>
      <c r="I407" s="290"/>
    </row>
    <row r="408" spans="1:9">
      <c r="A408" s="1"/>
      <c r="B408" s="1"/>
      <c r="C408" s="63"/>
      <c r="D408" s="10"/>
      <c r="E408" s="270"/>
      <c r="F408" s="267"/>
      <c r="G408" s="273"/>
      <c r="H408" s="283"/>
      <c r="I408" s="290"/>
    </row>
    <row r="409" spans="1:9">
      <c r="A409" s="1"/>
      <c r="B409" s="1"/>
      <c r="C409" s="63"/>
      <c r="D409" s="10"/>
      <c r="E409" s="270"/>
      <c r="F409" s="267"/>
      <c r="G409" s="273"/>
      <c r="H409" s="283"/>
      <c r="I409" s="290"/>
    </row>
    <row r="410" spans="1:9">
      <c r="A410" s="1"/>
      <c r="B410" s="1"/>
      <c r="C410" s="63"/>
      <c r="D410" s="10"/>
      <c r="E410" s="270"/>
      <c r="F410" s="267"/>
      <c r="G410" s="273"/>
      <c r="H410" s="283"/>
      <c r="I410" s="290"/>
    </row>
    <row r="411" spans="1:9">
      <c r="A411" s="1"/>
      <c r="B411" s="1"/>
      <c r="C411" s="63"/>
      <c r="D411" s="10"/>
      <c r="E411" s="270"/>
      <c r="F411" s="267"/>
      <c r="G411" s="273"/>
      <c r="H411" s="283"/>
      <c r="I411" s="290"/>
    </row>
    <row r="412" spans="1:9">
      <c r="A412" s="1"/>
      <c r="B412" s="1"/>
      <c r="C412" s="63"/>
      <c r="D412" s="10"/>
      <c r="E412" s="270"/>
      <c r="F412" s="267"/>
      <c r="G412" s="273"/>
      <c r="H412" s="283"/>
      <c r="I412" s="290"/>
    </row>
    <row r="413" spans="1:9">
      <c r="A413" s="1"/>
      <c r="B413" s="1"/>
      <c r="C413" s="63"/>
      <c r="D413" s="10"/>
      <c r="E413" s="270"/>
      <c r="F413" s="267"/>
      <c r="G413" s="273"/>
      <c r="H413" s="283"/>
      <c r="I413" s="290"/>
    </row>
    <row r="414" spans="1:9">
      <c r="A414" s="1"/>
      <c r="B414" s="1"/>
      <c r="C414" s="63"/>
      <c r="D414" s="10"/>
      <c r="E414" s="270"/>
      <c r="F414" s="267"/>
      <c r="G414" s="273"/>
      <c r="H414" s="283"/>
      <c r="I414" s="290"/>
    </row>
    <row r="415" spans="1:9">
      <c r="A415" s="1"/>
      <c r="B415" s="1"/>
      <c r="C415" s="63"/>
      <c r="D415" s="10"/>
      <c r="E415" s="270"/>
      <c r="F415" s="267"/>
      <c r="G415" s="273"/>
      <c r="H415" s="283"/>
      <c r="I415" s="290"/>
    </row>
    <row r="416" spans="1:9">
      <c r="A416" s="1"/>
      <c r="B416" s="1"/>
      <c r="C416" s="63"/>
      <c r="D416" s="10"/>
      <c r="E416" s="270"/>
      <c r="F416" s="267"/>
      <c r="G416" s="273"/>
      <c r="H416" s="283"/>
      <c r="I416" s="290"/>
    </row>
    <row r="417" spans="1:9">
      <c r="A417" s="1"/>
      <c r="B417" s="1"/>
      <c r="C417" s="63"/>
      <c r="D417" s="10"/>
      <c r="E417" s="270"/>
      <c r="F417" s="267"/>
      <c r="G417" s="273"/>
      <c r="H417" s="283"/>
      <c r="I417" s="290"/>
    </row>
    <row r="418" spans="1:9">
      <c r="A418" s="1"/>
      <c r="B418" s="1"/>
      <c r="C418" s="63"/>
      <c r="D418" s="10"/>
      <c r="E418" s="270"/>
      <c r="F418" s="267"/>
      <c r="G418" s="273"/>
      <c r="H418" s="283"/>
      <c r="I418" s="290"/>
    </row>
    <row r="419" spans="1:9">
      <c r="A419" s="1"/>
      <c r="B419" s="1"/>
      <c r="C419" s="63"/>
      <c r="D419" s="10"/>
      <c r="E419" s="270"/>
      <c r="F419" s="267"/>
      <c r="G419" s="273"/>
      <c r="H419" s="283"/>
      <c r="I419" s="290"/>
    </row>
    <row r="420" spans="1:9">
      <c r="A420" s="1"/>
      <c r="B420" s="1"/>
      <c r="C420" s="63"/>
      <c r="D420" s="10"/>
      <c r="E420" s="270"/>
      <c r="F420" s="267"/>
      <c r="G420" s="273"/>
      <c r="H420" s="283"/>
      <c r="I420" s="290"/>
    </row>
    <row r="421" spans="1:9">
      <c r="A421" s="1"/>
      <c r="B421" s="1"/>
      <c r="C421" s="63"/>
      <c r="D421" s="10"/>
      <c r="E421" s="270"/>
      <c r="F421" s="267"/>
      <c r="G421" s="273"/>
      <c r="H421" s="283"/>
      <c r="I421" s="290"/>
    </row>
    <row r="422" spans="1:9">
      <c r="A422" s="1"/>
      <c r="B422" s="1"/>
      <c r="C422" s="63"/>
      <c r="D422" s="10"/>
      <c r="E422" s="270"/>
      <c r="F422" s="267"/>
      <c r="G422" s="273"/>
      <c r="H422" s="283"/>
      <c r="I422" s="290"/>
    </row>
    <row r="423" spans="1:9">
      <c r="A423" s="1"/>
      <c r="B423" s="1"/>
      <c r="C423" s="63"/>
      <c r="D423" s="10"/>
      <c r="E423" s="270"/>
      <c r="F423" s="267"/>
      <c r="G423" s="273"/>
      <c r="H423" s="283"/>
      <c r="I423" s="290"/>
    </row>
    <row r="424" spans="1:9">
      <c r="A424" s="1"/>
      <c r="B424" s="1"/>
      <c r="C424" s="63"/>
      <c r="D424" s="10"/>
      <c r="E424" s="270"/>
      <c r="F424" s="267"/>
      <c r="G424" s="273"/>
      <c r="H424" s="283"/>
      <c r="I424" s="290"/>
    </row>
    <row r="425" spans="1:9">
      <c r="A425" s="1"/>
      <c r="B425" s="1"/>
      <c r="C425" s="63"/>
      <c r="D425" s="10"/>
      <c r="E425" s="270"/>
      <c r="F425" s="267"/>
      <c r="G425" s="273"/>
      <c r="H425" s="283"/>
      <c r="I425" s="290"/>
    </row>
    <row r="426" spans="1:9">
      <c r="A426" s="1"/>
      <c r="B426" s="1"/>
      <c r="C426" s="63"/>
      <c r="D426" s="10"/>
      <c r="E426" s="270"/>
      <c r="F426" s="267"/>
      <c r="G426" s="273"/>
      <c r="H426" s="283"/>
      <c r="I426" s="290"/>
    </row>
    <row r="427" spans="1:9">
      <c r="A427" s="1"/>
      <c r="B427" s="1"/>
      <c r="C427" s="63"/>
      <c r="D427" s="10"/>
      <c r="E427" s="270"/>
      <c r="F427" s="267"/>
      <c r="G427" s="273"/>
      <c r="H427" s="283"/>
      <c r="I427" s="290"/>
    </row>
    <row r="428" spans="1:9">
      <c r="A428" s="1"/>
      <c r="B428" s="1"/>
      <c r="C428" s="63"/>
      <c r="D428" s="10"/>
      <c r="E428" s="270"/>
      <c r="F428" s="267"/>
      <c r="G428" s="273"/>
      <c r="H428" s="283"/>
      <c r="I428" s="290"/>
    </row>
    <row r="429" spans="1:9">
      <c r="A429" s="1"/>
      <c r="B429" s="1"/>
      <c r="C429" s="63"/>
      <c r="D429" s="10"/>
      <c r="E429" s="270"/>
      <c r="F429" s="267"/>
      <c r="G429" s="273"/>
      <c r="H429" s="283"/>
      <c r="I429" s="290"/>
    </row>
    <row r="430" spans="1:9">
      <c r="A430" s="1"/>
      <c r="B430" s="1"/>
      <c r="C430" s="63"/>
      <c r="D430" s="10"/>
      <c r="E430" s="270"/>
      <c r="F430" s="267"/>
      <c r="G430" s="273"/>
      <c r="H430" s="283"/>
      <c r="I430" s="290"/>
    </row>
    <row r="431" spans="1:9">
      <c r="A431" s="1"/>
      <c r="B431" s="1"/>
      <c r="C431" s="63"/>
      <c r="D431" s="10"/>
      <c r="E431" s="270"/>
      <c r="F431" s="267"/>
      <c r="G431" s="273"/>
      <c r="H431" s="283"/>
      <c r="I431" s="290"/>
    </row>
    <row r="432" spans="1:9">
      <c r="A432" s="1"/>
      <c r="B432" s="1"/>
      <c r="C432" s="63"/>
      <c r="D432" s="10"/>
      <c r="E432" s="270"/>
      <c r="F432" s="267"/>
      <c r="G432" s="273"/>
      <c r="H432" s="283"/>
      <c r="I432" s="290"/>
    </row>
    <row r="433" spans="1:9">
      <c r="A433" s="1"/>
      <c r="B433" s="1"/>
      <c r="C433" s="63"/>
      <c r="D433" s="10"/>
      <c r="E433" s="270"/>
      <c r="F433" s="267"/>
      <c r="G433" s="273"/>
      <c r="H433" s="283"/>
      <c r="I433" s="290"/>
    </row>
    <row r="434" spans="1:9">
      <c r="A434" s="1"/>
      <c r="B434" s="1"/>
      <c r="C434" s="63"/>
      <c r="D434" s="10"/>
      <c r="E434" s="270"/>
      <c r="F434" s="267"/>
      <c r="G434" s="273"/>
      <c r="H434" s="283"/>
      <c r="I434" s="290"/>
    </row>
    <row r="435" spans="1:9">
      <c r="A435" s="1"/>
      <c r="B435" s="1"/>
      <c r="C435" s="63"/>
      <c r="D435" s="10"/>
      <c r="E435" s="270"/>
      <c r="F435" s="267"/>
      <c r="G435" s="273"/>
      <c r="H435" s="283"/>
      <c r="I435" s="290"/>
    </row>
    <row r="436" spans="1:9">
      <c r="A436" s="1"/>
      <c r="B436" s="1"/>
      <c r="C436" s="63"/>
      <c r="D436" s="10"/>
      <c r="E436" s="270"/>
      <c r="F436" s="267"/>
      <c r="G436" s="273"/>
      <c r="H436" s="283"/>
      <c r="I436" s="290"/>
    </row>
    <row r="437" spans="1:9">
      <c r="A437" s="1"/>
      <c r="B437" s="1"/>
      <c r="C437" s="63"/>
      <c r="D437" s="10"/>
      <c r="E437" s="270"/>
      <c r="F437" s="267"/>
      <c r="G437" s="273"/>
      <c r="H437" s="283"/>
      <c r="I437" s="290"/>
    </row>
    <row r="438" spans="1:9">
      <c r="A438" s="1"/>
      <c r="B438" s="1"/>
      <c r="C438" s="63"/>
      <c r="D438" s="10"/>
      <c r="E438" s="270"/>
      <c r="F438" s="267"/>
      <c r="G438" s="273"/>
      <c r="H438" s="283"/>
      <c r="I438" s="290"/>
    </row>
    <row r="439" spans="1:9">
      <c r="A439" s="1"/>
      <c r="B439" s="1"/>
      <c r="C439" s="63"/>
      <c r="D439" s="10"/>
      <c r="E439" s="270"/>
      <c r="F439" s="267"/>
      <c r="G439" s="273"/>
      <c r="H439" s="283"/>
      <c r="I439" s="290"/>
    </row>
    <row r="440" spans="1:9">
      <c r="A440" s="1"/>
      <c r="B440" s="1"/>
      <c r="C440" s="63"/>
      <c r="D440" s="10"/>
      <c r="E440" s="270"/>
      <c r="F440" s="267"/>
      <c r="G440" s="273"/>
      <c r="H440" s="283"/>
      <c r="I440" s="290"/>
    </row>
    <row r="441" spans="1:9">
      <c r="A441" s="1"/>
      <c r="B441" s="1"/>
      <c r="C441" s="63"/>
      <c r="D441" s="10"/>
      <c r="E441" s="270"/>
      <c r="F441" s="267"/>
      <c r="G441" s="273"/>
      <c r="H441" s="283"/>
      <c r="I441" s="290"/>
    </row>
    <row r="442" spans="1:9">
      <c r="A442" s="1"/>
      <c r="B442" s="1"/>
      <c r="C442" s="63"/>
      <c r="D442" s="10"/>
      <c r="E442" s="270"/>
      <c r="F442" s="267"/>
      <c r="G442" s="273"/>
      <c r="H442" s="283"/>
      <c r="I442" s="290"/>
    </row>
    <row r="443" spans="1:9">
      <c r="A443" s="1"/>
      <c r="B443" s="1"/>
      <c r="C443" s="63"/>
      <c r="D443" s="10"/>
      <c r="E443" s="270"/>
      <c r="F443" s="267"/>
      <c r="G443" s="273"/>
      <c r="H443" s="283"/>
      <c r="I443" s="290"/>
    </row>
    <row r="444" spans="1:9">
      <c r="A444" s="1"/>
      <c r="B444" s="1"/>
      <c r="C444" s="63"/>
      <c r="D444" s="10"/>
      <c r="E444" s="270"/>
      <c r="F444" s="267"/>
      <c r="G444" s="273"/>
      <c r="H444" s="283"/>
      <c r="I444" s="290"/>
    </row>
    <row r="445" spans="1:9">
      <c r="A445" s="1"/>
      <c r="B445" s="1"/>
      <c r="C445" s="63"/>
      <c r="D445" s="10"/>
      <c r="E445" s="270"/>
      <c r="F445" s="267"/>
      <c r="G445" s="273"/>
      <c r="H445" s="283"/>
      <c r="I445" s="290"/>
    </row>
    <row r="446" spans="1:9">
      <c r="A446" s="1"/>
      <c r="B446" s="1"/>
      <c r="C446" s="63"/>
      <c r="D446" s="10"/>
      <c r="E446" s="270"/>
      <c r="F446" s="267"/>
      <c r="G446" s="273"/>
      <c r="H446" s="283"/>
      <c r="I446" s="290"/>
    </row>
    <row r="447" spans="1:9">
      <c r="A447" s="1"/>
      <c r="B447" s="1"/>
      <c r="C447" s="63"/>
      <c r="D447" s="10"/>
      <c r="E447" s="270"/>
      <c r="F447" s="267"/>
      <c r="G447" s="273"/>
      <c r="H447" s="283"/>
      <c r="I447" s="290"/>
    </row>
    <row r="448" spans="1:9">
      <c r="A448" s="1"/>
      <c r="B448" s="1"/>
      <c r="C448" s="63"/>
      <c r="D448" s="10"/>
      <c r="E448" s="270"/>
      <c r="F448" s="267"/>
      <c r="G448" s="273"/>
      <c r="H448" s="283"/>
      <c r="I448" s="290"/>
    </row>
    <row r="449" spans="1:9">
      <c r="A449" s="1"/>
      <c r="B449" s="1"/>
      <c r="C449" s="63"/>
      <c r="D449" s="10"/>
      <c r="E449" s="270"/>
      <c r="F449" s="267"/>
      <c r="G449" s="273"/>
      <c r="H449" s="283"/>
      <c r="I449" s="290"/>
    </row>
    <row r="450" spans="1:9">
      <c r="A450" s="1"/>
      <c r="B450" s="1"/>
      <c r="C450" s="63"/>
      <c r="D450" s="10"/>
      <c r="E450" s="270"/>
      <c r="F450" s="267"/>
      <c r="G450" s="273"/>
      <c r="H450" s="283"/>
      <c r="I450" s="290"/>
    </row>
    <row r="451" spans="1:9">
      <c r="A451" s="1"/>
      <c r="B451" s="1"/>
      <c r="C451" s="63"/>
      <c r="D451" s="10"/>
      <c r="E451" s="270"/>
      <c r="F451" s="267"/>
      <c r="G451" s="273"/>
      <c r="H451" s="283"/>
      <c r="I451" s="290"/>
    </row>
    <row r="452" spans="1:9">
      <c r="A452" s="1"/>
      <c r="B452" s="1"/>
      <c r="C452" s="63"/>
      <c r="D452" s="10"/>
      <c r="E452" s="270"/>
      <c r="F452" s="267"/>
      <c r="G452" s="273"/>
      <c r="H452" s="283"/>
      <c r="I452" s="290"/>
    </row>
    <row r="453" spans="1:9">
      <c r="A453" s="1"/>
      <c r="B453" s="1"/>
      <c r="C453" s="63"/>
      <c r="D453" s="10"/>
      <c r="E453" s="270"/>
      <c r="F453" s="267"/>
      <c r="G453" s="273"/>
      <c r="H453" s="283"/>
      <c r="I453" s="290"/>
    </row>
    <row r="454" spans="1:9">
      <c r="A454" s="1"/>
      <c r="B454" s="1"/>
      <c r="C454" s="63"/>
      <c r="D454" s="10"/>
      <c r="E454" s="270"/>
      <c r="F454" s="267"/>
      <c r="G454" s="273"/>
      <c r="H454" s="283"/>
      <c r="I454" s="290"/>
    </row>
    <row r="455" spans="1:9">
      <c r="A455" s="1"/>
      <c r="B455" s="1"/>
      <c r="C455" s="63"/>
      <c r="D455" s="10"/>
      <c r="E455" s="270"/>
      <c r="F455" s="267"/>
      <c r="G455" s="273"/>
      <c r="H455" s="283"/>
      <c r="I455" s="290"/>
    </row>
    <row r="456" spans="1:9">
      <c r="A456" s="1"/>
      <c r="B456" s="1"/>
      <c r="C456" s="63"/>
      <c r="D456" s="10"/>
      <c r="E456" s="270"/>
      <c r="F456" s="267"/>
      <c r="G456" s="273"/>
      <c r="H456" s="283"/>
      <c r="I456" s="290"/>
    </row>
    <row r="457" spans="1:9">
      <c r="A457" s="1"/>
      <c r="B457" s="1"/>
      <c r="C457" s="63"/>
      <c r="D457" s="10"/>
      <c r="E457" s="270"/>
      <c r="F457" s="267"/>
      <c r="G457" s="273"/>
      <c r="H457" s="283"/>
      <c r="I457" s="290"/>
    </row>
    <row r="458" spans="1:9">
      <c r="A458" s="1"/>
      <c r="B458" s="1"/>
      <c r="C458" s="63"/>
      <c r="D458" s="10"/>
      <c r="E458" s="270"/>
      <c r="F458" s="267"/>
      <c r="G458" s="273"/>
      <c r="H458" s="283"/>
      <c r="I458" s="290"/>
    </row>
    <row r="459" spans="1:9">
      <c r="A459" s="1"/>
      <c r="B459" s="1"/>
      <c r="C459" s="63"/>
      <c r="D459" s="10"/>
      <c r="E459" s="270"/>
      <c r="F459" s="267"/>
      <c r="G459" s="273"/>
      <c r="H459" s="283"/>
      <c r="I459" s="290"/>
    </row>
    <row r="460" spans="1:9">
      <c r="A460" s="1"/>
      <c r="B460" s="1"/>
      <c r="C460" s="63"/>
      <c r="D460" s="10"/>
      <c r="E460" s="270"/>
      <c r="F460" s="267"/>
      <c r="G460" s="273"/>
      <c r="H460" s="283"/>
      <c r="I460" s="290"/>
    </row>
    <row r="461" spans="1:9">
      <c r="A461" s="1"/>
      <c r="B461" s="1"/>
      <c r="C461" s="63"/>
      <c r="D461" s="10"/>
      <c r="E461" s="270"/>
      <c r="F461" s="267"/>
      <c r="G461" s="273"/>
      <c r="H461" s="283"/>
      <c r="I461" s="290"/>
    </row>
    <row r="462" spans="1:9">
      <c r="A462" s="1"/>
      <c r="B462" s="1"/>
      <c r="C462" s="63"/>
      <c r="D462" s="10"/>
      <c r="E462" s="270"/>
      <c r="F462" s="267"/>
      <c r="G462" s="273"/>
      <c r="H462" s="283"/>
      <c r="I462" s="290"/>
    </row>
    <row r="463" spans="1:9">
      <c r="A463" s="1"/>
      <c r="B463" s="1"/>
      <c r="C463" s="63"/>
      <c r="D463" s="10"/>
      <c r="E463" s="270"/>
      <c r="F463" s="267"/>
      <c r="G463" s="273"/>
      <c r="H463" s="283"/>
      <c r="I463" s="290"/>
    </row>
    <row r="464" spans="1:9">
      <c r="A464" s="1"/>
      <c r="B464" s="1"/>
      <c r="C464" s="63"/>
      <c r="D464" s="10"/>
      <c r="E464" s="270"/>
      <c r="F464" s="267"/>
      <c r="G464" s="273"/>
      <c r="H464" s="283"/>
      <c r="I464" s="290"/>
    </row>
    <row r="465" spans="1:9">
      <c r="A465" s="1"/>
      <c r="B465" s="1"/>
      <c r="C465" s="63"/>
      <c r="D465" s="10"/>
      <c r="E465" s="270"/>
      <c r="F465" s="267"/>
      <c r="G465" s="273"/>
      <c r="H465" s="283"/>
      <c r="I465" s="290"/>
    </row>
    <row r="466" spans="1:9">
      <c r="A466" s="1"/>
      <c r="B466" s="1"/>
      <c r="C466" s="63"/>
      <c r="D466" s="10"/>
      <c r="E466" s="270"/>
      <c r="F466" s="267"/>
      <c r="G466" s="273"/>
      <c r="H466" s="283"/>
      <c r="I466" s="290"/>
    </row>
    <row r="467" spans="1:9">
      <c r="A467" s="1"/>
      <c r="B467" s="1"/>
      <c r="C467" s="63"/>
      <c r="D467" s="10"/>
      <c r="E467" s="270"/>
      <c r="F467" s="267"/>
      <c r="G467" s="273"/>
      <c r="H467" s="283"/>
      <c r="I467" s="290"/>
    </row>
    <row r="468" spans="1:9">
      <c r="A468" s="1"/>
      <c r="B468" s="1"/>
      <c r="C468" s="63"/>
      <c r="D468" s="10"/>
      <c r="E468" s="270"/>
      <c r="F468" s="267"/>
      <c r="G468" s="273"/>
      <c r="H468" s="283"/>
      <c r="I468" s="290"/>
    </row>
    <row r="469" spans="1:9">
      <c r="A469" s="1"/>
      <c r="B469" s="1"/>
      <c r="C469" s="63"/>
      <c r="D469" s="10"/>
      <c r="E469" s="270"/>
      <c r="F469" s="267"/>
      <c r="G469" s="273"/>
      <c r="H469" s="283"/>
      <c r="I469" s="290"/>
    </row>
    <row r="470" spans="1:9">
      <c r="A470" s="1"/>
      <c r="B470" s="1"/>
      <c r="C470" s="63"/>
      <c r="D470" s="10"/>
      <c r="E470" s="270"/>
      <c r="F470" s="267"/>
      <c r="G470" s="273"/>
      <c r="H470" s="283"/>
      <c r="I470" s="290"/>
    </row>
    <row r="471" spans="1:9">
      <c r="A471" s="1"/>
      <c r="B471" s="1"/>
      <c r="C471" s="63"/>
      <c r="D471" s="10"/>
      <c r="E471" s="270"/>
      <c r="F471" s="267"/>
      <c r="G471" s="273"/>
      <c r="H471" s="283"/>
      <c r="I471" s="290"/>
    </row>
    <row r="472" spans="1:9">
      <c r="A472" s="1"/>
      <c r="B472" s="1"/>
      <c r="C472" s="63"/>
      <c r="D472" s="10"/>
      <c r="E472" s="270"/>
      <c r="F472" s="267"/>
      <c r="G472" s="273"/>
      <c r="H472" s="283"/>
      <c r="I472" s="290"/>
    </row>
    <row r="473" spans="1:9">
      <c r="A473" s="1"/>
      <c r="B473" s="1"/>
      <c r="C473" s="63"/>
      <c r="D473" s="10"/>
      <c r="E473" s="270"/>
      <c r="F473" s="267"/>
      <c r="G473" s="273"/>
      <c r="H473" s="283"/>
      <c r="I473" s="290"/>
    </row>
    <row r="474" spans="1:9">
      <c r="A474" s="1"/>
      <c r="B474" s="1"/>
      <c r="C474" s="63"/>
      <c r="D474" s="10"/>
      <c r="E474" s="270"/>
      <c r="F474" s="267"/>
      <c r="G474" s="273"/>
      <c r="H474" s="283"/>
      <c r="I474" s="290"/>
    </row>
    <row r="475" spans="1:9">
      <c r="A475" s="1"/>
      <c r="B475" s="1"/>
      <c r="C475" s="63"/>
      <c r="D475" s="10"/>
      <c r="E475" s="270"/>
      <c r="F475" s="267"/>
      <c r="G475" s="273"/>
      <c r="H475" s="283"/>
      <c r="I475" s="290"/>
    </row>
    <row r="476" spans="1:9">
      <c r="A476" s="1"/>
      <c r="B476" s="1"/>
      <c r="C476" s="63"/>
      <c r="D476" s="10"/>
      <c r="E476" s="270"/>
      <c r="F476" s="267"/>
      <c r="G476" s="273"/>
      <c r="H476" s="283"/>
      <c r="I476" s="290"/>
    </row>
    <row r="477" spans="1:9">
      <c r="A477" s="1"/>
      <c r="B477" s="1"/>
      <c r="C477" s="63"/>
      <c r="D477" s="10"/>
      <c r="E477" s="270"/>
      <c r="F477" s="267"/>
      <c r="G477" s="273"/>
      <c r="H477" s="283"/>
      <c r="I477" s="290"/>
    </row>
    <row r="478" spans="1:9">
      <c r="A478" s="1"/>
      <c r="B478" s="1"/>
      <c r="C478" s="63"/>
      <c r="D478" s="10"/>
      <c r="E478" s="270"/>
      <c r="F478" s="267"/>
      <c r="G478" s="273"/>
      <c r="H478" s="283"/>
      <c r="I478" s="290"/>
    </row>
    <row r="479" spans="1:9">
      <c r="A479" s="1"/>
      <c r="B479" s="1"/>
      <c r="C479" s="63"/>
      <c r="D479" s="10"/>
      <c r="E479" s="270"/>
      <c r="F479" s="267"/>
      <c r="G479" s="273"/>
      <c r="H479" s="283"/>
      <c r="I479" s="290"/>
    </row>
    <row r="480" spans="1:9">
      <c r="A480" s="1"/>
      <c r="B480" s="1"/>
      <c r="C480" s="63"/>
      <c r="D480" s="10"/>
      <c r="E480" s="270"/>
      <c r="F480" s="267"/>
      <c r="G480" s="273"/>
      <c r="H480" s="283"/>
      <c r="I480" s="290"/>
    </row>
    <row r="481" spans="1:9">
      <c r="A481" s="1"/>
      <c r="B481" s="1"/>
      <c r="C481" s="63"/>
      <c r="D481" s="10"/>
      <c r="E481" s="270"/>
      <c r="F481" s="267"/>
      <c r="G481" s="273"/>
      <c r="H481" s="283"/>
      <c r="I481" s="290"/>
    </row>
    <row r="482" spans="1:9">
      <c r="A482" s="1"/>
      <c r="B482" s="1"/>
      <c r="C482" s="63"/>
      <c r="D482" s="10"/>
      <c r="E482" s="270"/>
      <c r="F482" s="267"/>
      <c r="G482" s="273"/>
      <c r="H482" s="283"/>
      <c r="I482" s="290"/>
    </row>
    <row r="483" spans="1:9">
      <c r="A483" s="1"/>
      <c r="B483" s="1"/>
      <c r="C483" s="63"/>
      <c r="D483" s="10"/>
      <c r="E483" s="270"/>
      <c r="F483" s="267"/>
      <c r="G483" s="273"/>
      <c r="H483" s="283"/>
      <c r="I483" s="290"/>
    </row>
    <row r="484" spans="1:9">
      <c r="A484" s="1"/>
      <c r="B484" s="1"/>
      <c r="C484" s="63"/>
      <c r="D484" s="10"/>
      <c r="E484" s="270"/>
      <c r="F484" s="267"/>
      <c r="G484" s="273"/>
      <c r="H484" s="283"/>
      <c r="I484" s="290"/>
    </row>
    <row r="485" spans="1:9">
      <c r="A485" s="1"/>
      <c r="B485" s="1"/>
      <c r="C485" s="63"/>
      <c r="D485" s="10"/>
      <c r="E485" s="270"/>
      <c r="F485" s="267"/>
      <c r="G485" s="273"/>
      <c r="H485" s="283"/>
      <c r="I485" s="290"/>
    </row>
    <row r="486" spans="1:9">
      <c r="A486" s="1"/>
      <c r="B486" s="1"/>
      <c r="C486" s="63"/>
      <c r="D486" s="10"/>
      <c r="E486" s="270"/>
      <c r="F486" s="267"/>
      <c r="G486" s="273"/>
      <c r="H486" s="283"/>
      <c r="I486" s="290"/>
    </row>
    <row r="487" spans="1:9">
      <c r="A487" s="1"/>
      <c r="B487" s="1"/>
      <c r="C487" s="63"/>
      <c r="D487" s="10"/>
      <c r="E487" s="270"/>
      <c r="F487" s="267"/>
      <c r="G487" s="273"/>
      <c r="H487" s="283"/>
      <c r="I487" s="290"/>
    </row>
    <row r="488" spans="1:9">
      <c r="A488" s="1"/>
      <c r="B488" s="1"/>
      <c r="C488" s="63"/>
      <c r="D488" s="10"/>
      <c r="E488" s="270"/>
      <c r="F488" s="267"/>
      <c r="G488" s="273"/>
      <c r="H488" s="283"/>
      <c r="I488" s="290"/>
    </row>
    <row r="489" spans="1:9">
      <c r="A489" s="1"/>
      <c r="B489" s="1"/>
      <c r="C489" s="63"/>
      <c r="D489" s="10"/>
      <c r="E489" s="270"/>
      <c r="F489" s="267"/>
      <c r="G489" s="273"/>
      <c r="H489" s="283"/>
      <c r="I489" s="290"/>
    </row>
    <row r="490" spans="1:9">
      <c r="A490" s="1"/>
      <c r="B490" s="1"/>
      <c r="C490" s="63"/>
      <c r="D490" s="10"/>
      <c r="E490" s="270"/>
      <c r="F490" s="267"/>
      <c r="G490" s="273"/>
      <c r="H490" s="283"/>
      <c r="I490" s="290"/>
    </row>
    <row r="491" spans="1:9">
      <c r="A491" s="1"/>
      <c r="B491" s="1"/>
      <c r="C491" s="63"/>
      <c r="D491" s="10"/>
      <c r="E491" s="270"/>
      <c r="F491" s="267"/>
      <c r="G491" s="273"/>
      <c r="H491" s="283"/>
      <c r="I491" s="290"/>
    </row>
    <row r="492" spans="1:9">
      <c r="A492" s="1"/>
      <c r="B492" s="1"/>
      <c r="C492" s="63"/>
      <c r="D492" s="10"/>
      <c r="E492" s="270"/>
      <c r="F492" s="267"/>
      <c r="G492" s="273"/>
      <c r="H492" s="283"/>
      <c r="I492" s="290"/>
    </row>
    <row r="493" spans="1:9">
      <c r="A493" s="1"/>
      <c r="B493" s="1"/>
      <c r="C493" s="63"/>
      <c r="D493" s="10"/>
      <c r="E493" s="270"/>
      <c r="F493" s="267"/>
      <c r="G493" s="273"/>
      <c r="H493" s="283"/>
      <c r="I493" s="290"/>
    </row>
    <row r="494" spans="1:9">
      <c r="A494" s="1"/>
      <c r="B494" s="1"/>
      <c r="C494" s="63"/>
      <c r="D494" s="10"/>
      <c r="E494" s="270"/>
      <c r="F494" s="267"/>
      <c r="G494" s="273"/>
      <c r="H494" s="283"/>
      <c r="I494" s="290"/>
    </row>
    <row r="495" spans="1:9">
      <c r="A495" s="1"/>
      <c r="B495" s="1"/>
      <c r="C495" s="63"/>
      <c r="D495" s="10"/>
      <c r="E495" s="270"/>
      <c r="F495" s="267"/>
      <c r="G495" s="273"/>
      <c r="H495" s="283"/>
      <c r="I495" s="290"/>
    </row>
    <row r="496" spans="1:9">
      <c r="A496" s="1"/>
      <c r="B496" s="1"/>
      <c r="C496" s="63"/>
      <c r="D496" s="10"/>
      <c r="E496" s="270"/>
      <c r="F496" s="267"/>
      <c r="G496" s="273"/>
      <c r="H496" s="283"/>
      <c r="I496" s="290"/>
    </row>
    <row r="497" spans="1:9">
      <c r="A497" s="1"/>
      <c r="B497" s="1"/>
      <c r="C497" s="63"/>
      <c r="D497" s="10"/>
      <c r="E497" s="270"/>
      <c r="F497" s="267"/>
      <c r="G497" s="273"/>
      <c r="H497" s="283"/>
      <c r="I497" s="290"/>
    </row>
    <row r="498" spans="1:9">
      <c r="A498" s="1"/>
      <c r="B498" s="1"/>
      <c r="C498" s="63"/>
      <c r="D498" s="10"/>
      <c r="E498" s="270"/>
      <c r="F498" s="267"/>
      <c r="G498" s="273"/>
      <c r="H498" s="283"/>
      <c r="I498" s="290"/>
    </row>
    <row r="499" spans="1:9">
      <c r="A499" s="1"/>
      <c r="B499" s="1"/>
      <c r="C499" s="63"/>
      <c r="D499" s="10"/>
      <c r="E499" s="270"/>
      <c r="F499" s="267"/>
      <c r="G499" s="273"/>
      <c r="H499" s="283"/>
      <c r="I499" s="290"/>
    </row>
    <row r="500" spans="1:9">
      <c r="A500" s="1"/>
      <c r="B500" s="1"/>
      <c r="C500" s="63"/>
      <c r="D500" s="10"/>
      <c r="E500" s="270"/>
      <c r="F500" s="267"/>
      <c r="G500" s="273"/>
      <c r="H500" s="283"/>
      <c r="I500" s="290"/>
    </row>
    <row r="501" spans="1:9">
      <c r="A501" s="1"/>
      <c r="B501" s="1"/>
      <c r="C501" s="63"/>
      <c r="D501" s="10"/>
      <c r="E501" s="270"/>
      <c r="F501" s="267"/>
      <c r="G501" s="273"/>
      <c r="H501" s="283"/>
      <c r="I501" s="290"/>
    </row>
    <row r="502" spans="1:9">
      <c r="A502" s="1"/>
      <c r="B502" s="1"/>
      <c r="C502" s="63"/>
      <c r="D502" s="10"/>
      <c r="E502" s="270"/>
      <c r="F502" s="267"/>
      <c r="G502" s="273"/>
      <c r="H502" s="283"/>
      <c r="I502" s="290"/>
    </row>
    <row r="503" spans="1:9">
      <c r="A503" s="1"/>
      <c r="B503" s="1"/>
      <c r="C503" s="63"/>
      <c r="D503" s="10"/>
      <c r="E503" s="270"/>
      <c r="F503" s="267"/>
      <c r="G503" s="273"/>
      <c r="H503" s="283"/>
      <c r="I503" s="290"/>
    </row>
    <row r="504" spans="1:9">
      <c r="A504" s="1"/>
      <c r="B504" s="1"/>
      <c r="C504" s="63"/>
      <c r="D504" s="10"/>
      <c r="E504" s="270"/>
      <c r="F504" s="267"/>
      <c r="G504" s="273"/>
      <c r="H504" s="283"/>
      <c r="I504" s="290"/>
    </row>
    <row r="505" spans="1:9">
      <c r="A505" s="1"/>
      <c r="B505" s="1"/>
      <c r="C505" s="63"/>
      <c r="D505" s="10"/>
      <c r="E505" s="270"/>
      <c r="F505" s="267"/>
      <c r="G505" s="273"/>
      <c r="H505" s="283"/>
      <c r="I505" s="290"/>
    </row>
    <row r="506" spans="1:9">
      <c r="A506" s="1"/>
      <c r="B506" s="1"/>
      <c r="C506" s="63"/>
      <c r="D506" s="10"/>
      <c r="E506" s="270"/>
      <c r="F506" s="267"/>
      <c r="G506" s="273"/>
      <c r="H506" s="283"/>
      <c r="I506" s="290"/>
    </row>
    <row r="507" spans="1:9">
      <c r="A507" s="1"/>
      <c r="B507" s="1"/>
      <c r="C507" s="63"/>
      <c r="D507" s="10"/>
      <c r="E507" s="270"/>
      <c r="F507" s="267"/>
      <c r="G507" s="273"/>
      <c r="H507" s="283"/>
      <c r="I507" s="290"/>
    </row>
    <row r="508" spans="1:9">
      <c r="A508" s="1"/>
      <c r="B508" s="1"/>
      <c r="C508" s="63"/>
      <c r="D508" s="10"/>
      <c r="E508" s="270"/>
      <c r="F508" s="267"/>
      <c r="G508" s="273"/>
      <c r="H508" s="283"/>
      <c r="I508" s="290"/>
    </row>
    <row r="509" spans="1:9">
      <c r="A509" s="1"/>
      <c r="B509" s="1"/>
      <c r="C509" s="63"/>
      <c r="D509" s="10"/>
      <c r="E509" s="270"/>
      <c r="F509" s="267"/>
      <c r="G509" s="273"/>
      <c r="H509" s="283"/>
      <c r="I509" s="290"/>
    </row>
    <row r="510" spans="1:9">
      <c r="A510" s="1"/>
      <c r="B510" s="1"/>
      <c r="C510" s="63"/>
      <c r="D510" s="10"/>
      <c r="E510" s="270"/>
      <c r="F510" s="267"/>
      <c r="G510" s="273"/>
      <c r="H510" s="283"/>
      <c r="I510" s="290"/>
    </row>
    <row r="511" spans="1:9">
      <c r="A511" s="1"/>
      <c r="B511" s="1"/>
      <c r="C511" s="63"/>
      <c r="D511" s="10"/>
      <c r="E511" s="270"/>
      <c r="F511" s="267"/>
      <c r="G511" s="273"/>
      <c r="H511" s="283"/>
      <c r="I511" s="290"/>
    </row>
    <row r="512" spans="1:9">
      <c r="A512" s="1"/>
      <c r="B512" s="1"/>
      <c r="C512" s="63"/>
      <c r="D512" s="10"/>
      <c r="E512" s="270"/>
      <c r="F512" s="267"/>
      <c r="G512" s="273"/>
      <c r="H512" s="283"/>
      <c r="I512" s="290"/>
    </row>
    <row r="513" spans="1:9">
      <c r="A513" s="1"/>
      <c r="B513" s="1"/>
      <c r="C513" s="63"/>
      <c r="D513" s="10"/>
      <c r="E513" s="270"/>
      <c r="F513" s="267"/>
      <c r="G513" s="273"/>
      <c r="H513" s="283"/>
      <c r="I513" s="290"/>
    </row>
    <row r="514" spans="1:9">
      <c r="A514" s="1"/>
      <c r="B514" s="1"/>
      <c r="C514" s="63"/>
      <c r="D514" s="10"/>
      <c r="E514" s="270"/>
      <c r="F514" s="267"/>
      <c r="G514" s="273"/>
      <c r="H514" s="283"/>
      <c r="I514" s="290"/>
    </row>
    <row r="515" spans="1:9">
      <c r="A515" s="1"/>
      <c r="B515" s="1"/>
      <c r="C515" s="63"/>
      <c r="D515" s="10"/>
      <c r="E515" s="270"/>
      <c r="F515" s="267"/>
      <c r="G515" s="273"/>
      <c r="H515" s="283"/>
      <c r="I515" s="290"/>
    </row>
    <row r="516" spans="1:9">
      <c r="A516" s="1"/>
      <c r="B516" s="1"/>
      <c r="C516" s="63"/>
      <c r="D516" s="10"/>
      <c r="E516" s="270"/>
      <c r="F516" s="267"/>
      <c r="G516" s="273"/>
      <c r="H516" s="283"/>
      <c r="I516" s="290"/>
    </row>
    <row r="517" spans="1:9">
      <c r="A517" s="1"/>
      <c r="B517" s="1"/>
      <c r="C517" s="63"/>
      <c r="D517" s="10"/>
      <c r="E517" s="270"/>
      <c r="F517" s="267"/>
      <c r="G517" s="273"/>
      <c r="H517" s="283"/>
      <c r="I517" s="290"/>
    </row>
    <row r="518" spans="1:9">
      <c r="A518" s="1"/>
      <c r="B518" s="1"/>
      <c r="C518" s="63"/>
      <c r="D518" s="10"/>
      <c r="E518" s="270"/>
      <c r="F518" s="267"/>
      <c r="G518" s="273"/>
      <c r="H518" s="283"/>
      <c r="I518" s="290"/>
    </row>
    <row r="519" spans="1:9">
      <c r="A519" s="1"/>
      <c r="B519" s="1"/>
      <c r="C519" s="63"/>
      <c r="D519" s="10"/>
      <c r="E519" s="270"/>
      <c r="F519" s="267"/>
      <c r="G519" s="273"/>
      <c r="H519" s="283"/>
      <c r="I519" s="290"/>
    </row>
    <row r="520" spans="1:9">
      <c r="A520" s="1"/>
      <c r="B520" s="1"/>
      <c r="C520" s="63"/>
      <c r="D520" s="10"/>
      <c r="E520" s="270"/>
      <c r="F520" s="267"/>
      <c r="G520" s="273"/>
      <c r="H520" s="283"/>
      <c r="I520" s="290"/>
    </row>
    <row r="521" spans="1:9">
      <c r="A521" s="1"/>
      <c r="B521" s="1"/>
      <c r="C521" s="63"/>
      <c r="D521" s="10"/>
      <c r="E521" s="270"/>
      <c r="F521" s="267"/>
      <c r="G521" s="273"/>
      <c r="H521" s="283"/>
      <c r="I521" s="290"/>
    </row>
    <row r="522" spans="1:9">
      <c r="A522" s="1"/>
      <c r="B522" s="1"/>
      <c r="C522" s="63"/>
      <c r="D522" s="10"/>
      <c r="E522" s="270"/>
      <c r="F522" s="267"/>
      <c r="G522" s="273"/>
      <c r="H522" s="283"/>
      <c r="I522" s="290"/>
    </row>
    <row r="523" spans="1:9">
      <c r="A523" s="1"/>
      <c r="B523" s="1"/>
      <c r="C523" s="63"/>
      <c r="D523" s="10"/>
      <c r="E523" s="270"/>
      <c r="F523" s="267"/>
      <c r="G523" s="273"/>
      <c r="H523" s="283"/>
      <c r="I523" s="290"/>
    </row>
    <row r="524" spans="1:9">
      <c r="A524" s="1"/>
      <c r="B524" s="1"/>
      <c r="C524" s="63"/>
      <c r="D524" s="10"/>
      <c r="E524" s="270"/>
      <c r="F524" s="267"/>
      <c r="G524" s="273"/>
      <c r="H524" s="283"/>
      <c r="I524" s="290"/>
    </row>
    <row r="525" spans="1:9">
      <c r="A525" s="1"/>
      <c r="B525" s="1"/>
      <c r="C525" s="63"/>
      <c r="D525" s="10"/>
      <c r="E525" s="270"/>
      <c r="F525" s="267"/>
      <c r="G525" s="273"/>
      <c r="H525" s="283"/>
      <c r="I525" s="290"/>
    </row>
    <row r="526" spans="1:9">
      <c r="A526" s="1"/>
      <c r="B526" s="1"/>
      <c r="C526" s="63"/>
      <c r="D526" s="10"/>
      <c r="E526" s="270"/>
      <c r="F526" s="267"/>
      <c r="G526" s="273"/>
      <c r="H526" s="283"/>
      <c r="I526" s="290"/>
    </row>
    <row r="527" spans="1:9">
      <c r="A527" s="1"/>
      <c r="B527" s="1"/>
      <c r="C527" s="63"/>
      <c r="D527" s="10"/>
      <c r="E527" s="270"/>
      <c r="F527" s="267"/>
      <c r="G527" s="273"/>
      <c r="H527" s="283"/>
      <c r="I527" s="290"/>
    </row>
    <row r="528" spans="1:9">
      <c r="A528" s="1"/>
      <c r="B528" s="1"/>
      <c r="C528" s="63"/>
      <c r="D528" s="10"/>
      <c r="E528" s="270"/>
      <c r="F528" s="267"/>
      <c r="G528" s="273"/>
      <c r="H528" s="283"/>
      <c r="I528" s="290"/>
    </row>
    <row r="529" spans="1:9">
      <c r="A529" s="1"/>
      <c r="B529" s="1"/>
      <c r="C529" s="63"/>
      <c r="D529" s="10"/>
      <c r="E529" s="270"/>
      <c r="F529" s="267"/>
      <c r="G529" s="273"/>
      <c r="H529" s="283"/>
      <c r="I529" s="290"/>
    </row>
    <row r="530" spans="1:9">
      <c r="A530" s="1"/>
      <c r="B530" s="1"/>
      <c r="C530" s="63"/>
      <c r="D530" s="10"/>
      <c r="E530" s="270"/>
      <c r="F530" s="267"/>
      <c r="G530" s="273"/>
      <c r="H530" s="283"/>
      <c r="I530" s="290"/>
    </row>
    <row r="531" spans="1:9">
      <c r="A531" s="1"/>
      <c r="B531" s="1"/>
      <c r="C531" s="63"/>
      <c r="D531" s="10"/>
      <c r="E531" s="270"/>
      <c r="F531" s="267"/>
      <c r="G531" s="273"/>
      <c r="H531" s="283"/>
      <c r="I531" s="290"/>
    </row>
    <row r="532" spans="1:9">
      <c r="A532" s="1"/>
      <c r="B532" s="1"/>
      <c r="C532" s="63"/>
      <c r="D532" s="10"/>
      <c r="E532" s="270"/>
      <c r="F532" s="267"/>
      <c r="G532" s="273"/>
      <c r="H532" s="283"/>
      <c r="I532" s="290"/>
    </row>
    <row r="533" spans="1:9">
      <c r="A533" s="1"/>
      <c r="B533" s="1"/>
      <c r="C533" s="63"/>
      <c r="D533" s="10"/>
      <c r="E533" s="270"/>
      <c r="F533" s="267"/>
      <c r="G533" s="273"/>
      <c r="H533" s="283"/>
      <c r="I533" s="290"/>
    </row>
    <row r="534" spans="1:9">
      <c r="A534" s="1"/>
      <c r="B534" s="1"/>
      <c r="C534" s="63"/>
      <c r="D534" s="10"/>
      <c r="E534" s="270"/>
      <c r="F534" s="267"/>
      <c r="G534" s="273"/>
      <c r="H534" s="283"/>
      <c r="I534" s="290"/>
    </row>
    <row r="535" spans="1:9">
      <c r="A535" s="1"/>
      <c r="B535" s="1"/>
      <c r="C535" s="63"/>
      <c r="D535" s="10"/>
      <c r="E535" s="270"/>
      <c r="F535" s="267"/>
      <c r="G535" s="273"/>
      <c r="H535" s="283"/>
      <c r="I535" s="290"/>
    </row>
    <row r="536" spans="1:9">
      <c r="A536" s="1"/>
      <c r="B536" s="1"/>
      <c r="C536" s="63"/>
      <c r="D536" s="10"/>
      <c r="E536" s="270"/>
      <c r="F536" s="267"/>
      <c r="G536" s="273"/>
      <c r="H536" s="283"/>
      <c r="I536" s="290"/>
    </row>
    <row r="537" spans="1:9">
      <c r="A537" s="1"/>
      <c r="B537" s="1"/>
      <c r="C537" s="63"/>
      <c r="D537" s="10"/>
      <c r="E537" s="270"/>
      <c r="F537" s="267"/>
      <c r="G537" s="273"/>
      <c r="H537" s="283"/>
      <c r="I537" s="290"/>
    </row>
    <row r="538" spans="1:9">
      <c r="A538" s="1"/>
      <c r="B538" s="1"/>
      <c r="C538" s="63"/>
      <c r="D538" s="10"/>
      <c r="E538" s="270"/>
      <c r="F538" s="267"/>
      <c r="G538" s="273"/>
      <c r="H538" s="283"/>
      <c r="I538" s="290"/>
    </row>
    <row r="539" spans="1:9">
      <c r="A539" s="1"/>
      <c r="B539" s="1"/>
      <c r="C539" s="63"/>
      <c r="D539" s="10"/>
      <c r="E539" s="270"/>
      <c r="F539" s="267"/>
      <c r="G539" s="273"/>
      <c r="H539" s="283"/>
      <c r="I539" s="290"/>
    </row>
    <row r="540" spans="1:9">
      <c r="A540" s="1"/>
      <c r="B540" s="1"/>
      <c r="C540" s="63"/>
      <c r="D540" s="10"/>
      <c r="E540" s="270"/>
      <c r="F540" s="267"/>
      <c r="G540" s="273"/>
      <c r="H540" s="283"/>
      <c r="I540" s="290"/>
    </row>
    <row r="541" spans="1:9">
      <c r="A541" s="1"/>
      <c r="B541" s="1"/>
      <c r="C541" s="63"/>
      <c r="D541" s="10"/>
      <c r="E541" s="270"/>
      <c r="F541" s="267"/>
      <c r="G541" s="273"/>
      <c r="H541" s="283"/>
      <c r="I541" s="290"/>
    </row>
    <row r="542" spans="1:9">
      <c r="A542" s="1"/>
      <c r="B542" s="1"/>
      <c r="C542" s="63"/>
      <c r="D542" s="10"/>
      <c r="E542" s="270"/>
      <c r="F542" s="267"/>
      <c r="G542" s="273"/>
      <c r="H542" s="283"/>
      <c r="I542" s="290"/>
    </row>
    <row r="543" spans="1:9">
      <c r="A543" s="1"/>
      <c r="B543" s="1"/>
      <c r="C543" s="63"/>
      <c r="D543" s="10"/>
      <c r="E543" s="270"/>
      <c r="F543" s="267"/>
      <c r="G543" s="273"/>
      <c r="H543" s="283"/>
      <c r="I543" s="290"/>
    </row>
    <row r="544" spans="1:9">
      <c r="A544" s="1"/>
      <c r="B544" s="1"/>
      <c r="C544" s="63"/>
      <c r="D544" s="10"/>
      <c r="E544" s="270"/>
      <c r="F544" s="267"/>
      <c r="G544" s="273"/>
      <c r="H544" s="283"/>
      <c r="I544" s="290"/>
    </row>
    <row r="545" spans="1:9">
      <c r="A545" s="1"/>
      <c r="B545" s="1"/>
      <c r="C545" s="63"/>
      <c r="D545" s="10"/>
      <c r="E545" s="270"/>
      <c r="F545" s="267"/>
      <c r="G545" s="273"/>
      <c r="H545" s="283"/>
      <c r="I545" s="290"/>
    </row>
    <row r="546" spans="1:9">
      <c r="A546" s="1"/>
      <c r="B546" s="1"/>
      <c r="C546" s="63"/>
      <c r="D546" s="10"/>
      <c r="E546" s="270"/>
      <c r="F546" s="267"/>
      <c r="G546" s="273"/>
      <c r="H546" s="283"/>
      <c r="I546" s="290"/>
    </row>
    <row r="547" spans="1:9">
      <c r="A547" s="1"/>
      <c r="B547" s="1"/>
      <c r="C547" s="63"/>
      <c r="D547" s="10"/>
      <c r="E547" s="270"/>
      <c r="F547" s="267"/>
      <c r="G547" s="273"/>
      <c r="H547" s="283"/>
      <c r="I547" s="290"/>
    </row>
    <row r="548" spans="1:9">
      <c r="A548" s="1"/>
      <c r="B548" s="1"/>
      <c r="C548" s="63"/>
      <c r="D548" s="10"/>
      <c r="E548" s="270"/>
      <c r="F548" s="267"/>
      <c r="G548" s="273"/>
      <c r="H548" s="283"/>
      <c r="I548" s="290"/>
    </row>
    <row r="549" spans="1:9">
      <c r="A549" s="1"/>
      <c r="B549" s="1"/>
      <c r="C549" s="63"/>
      <c r="D549" s="10"/>
      <c r="E549" s="270"/>
      <c r="F549" s="267"/>
      <c r="G549" s="273"/>
      <c r="H549" s="283"/>
      <c r="I549" s="290"/>
    </row>
    <row r="550" spans="1:9">
      <c r="A550" s="1"/>
      <c r="B550" s="1"/>
      <c r="C550" s="63"/>
      <c r="D550" s="10"/>
      <c r="E550" s="270"/>
      <c r="F550" s="267"/>
      <c r="G550" s="273"/>
      <c r="H550" s="283"/>
      <c r="I550" s="290"/>
    </row>
    <row r="551" spans="1:9">
      <c r="A551" s="1"/>
      <c r="B551" s="1"/>
      <c r="C551" s="63"/>
      <c r="D551" s="10"/>
      <c r="E551" s="270"/>
      <c r="F551" s="267"/>
      <c r="G551" s="273"/>
      <c r="H551" s="283"/>
      <c r="I551" s="290"/>
    </row>
    <row r="552" spans="1:9">
      <c r="A552" s="1"/>
      <c r="B552" s="1"/>
      <c r="C552" s="63"/>
      <c r="D552" s="10"/>
      <c r="E552" s="270"/>
      <c r="F552" s="267"/>
      <c r="G552" s="273"/>
      <c r="H552" s="283"/>
      <c r="I552" s="290"/>
    </row>
    <row r="553" spans="1:9">
      <c r="A553" s="1"/>
      <c r="B553" s="1"/>
      <c r="C553" s="63"/>
      <c r="D553" s="10"/>
      <c r="E553" s="270"/>
      <c r="F553" s="267"/>
      <c r="G553" s="273"/>
      <c r="H553" s="283"/>
      <c r="I553" s="290"/>
    </row>
    <row r="554" spans="1:9">
      <c r="A554" s="1"/>
      <c r="B554" s="1"/>
      <c r="C554" s="63"/>
      <c r="D554" s="10"/>
      <c r="E554" s="270"/>
      <c r="F554" s="267"/>
      <c r="G554" s="273"/>
      <c r="H554" s="283"/>
      <c r="I554" s="290"/>
    </row>
    <row r="555" spans="1:9">
      <c r="A555" s="1"/>
      <c r="B555" s="1"/>
      <c r="C555" s="63"/>
      <c r="D555" s="10"/>
      <c r="E555" s="270"/>
      <c r="F555" s="267"/>
      <c r="G555" s="273"/>
      <c r="H555" s="283"/>
      <c r="I555" s="290"/>
    </row>
    <row r="556" spans="1:9">
      <c r="A556" s="1"/>
      <c r="B556" s="1"/>
      <c r="C556" s="63"/>
      <c r="D556" s="10"/>
      <c r="E556" s="270"/>
      <c r="F556" s="267"/>
      <c r="G556" s="273"/>
      <c r="H556" s="283"/>
      <c r="I556" s="290"/>
    </row>
    <row r="557" spans="1:9">
      <c r="A557" s="1"/>
      <c r="B557" s="1"/>
      <c r="C557" s="63"/>
      <c r="D557" s="10"/>
      <c r="E557" s="270"/>
      <c r="F557" s="267"/>
      <c r="G557" s="273"/>
      <c r="H557" s="283"/>
      <c r="I557" s="290"/>
    </row>
    <row r="558" spans="1:9">
      <c r="A558" s="1"/>
      <c r="B558" s="1"/>
      <c r="C558" s="63"/>
      <c r="D558" s="10"/>
      <c r="E558" s="270"/>
      <c r="F558" s="267"/>
      <c r="G558" s="273"/>
      <c r="H558" s="283"/>
      <c r="I558" s="290"/>
    </row>
    <row r="559" spans="1:9">
      <c r="A559" s="1"/>
      <c r="B559" s="1"/>
      <c r="C559" s="63"/>
      <c r="D559" s="10"/>
      <c r="E559" s="270"/>
      <c r="F559" s="267"/>
      <c r="G559" s="273"/>
      <c r="H559" s="283"/>
      <c r="I559" s="290"/>
    </row>
    <row r="560" spans="1:9">
      <c r="A560" s="1"/>
      <c r="B560" s="1"/>
      <c r="C560" s="63"/>
      <c r="D560" s="10"/>
      <c r="E560" s="270"/>
      <c r="F560" s="267"/>
      <c r="G560" s="273"/>
      <c r="H560" s="283"/>
      <c r="I560" s="290"/>
    </row>
    <row r="561" spans="1:9">
      <c r="A561" s="1"/>
      <c r="B561" s="1"/>
      <c r="C561" s="63"/>
      <c r="D561" s="10"/>
      <c r="E561" s="270"/>
      <c r="F561" s="267"/>
      <c r="G561" s="273"/>
      <c r="H561" s="283"/>
      <c r="I561" s="290"/>
    </row>
    <row r="562" spans="1:9">
      <c r="A562" s="1"/>
      <c r="B562" s="1"/>
      <c r="C562" s="63"/>
      <c r="D562" s="10"/>
      <c r="E562" s="270"/>
      <c r="F562" s="267"/>
      <c r="G562" s="273"/>
      <c r="H562" s="283"/>
      <c r="I562" s="290"/>
    </row>
    <row r="563" spans="1:9">
      <c r="A563" s="1"/>
      <c r="B563" s="1"/>
      <c r="C563" s="63"/>
      <c r="D563" s="10"/>
      <c r="E563" s="270"/>
      <c r="F563" s="267"/>
      <c r="G563" s="273"/>
      <c r="H563" s="283"/>
      <c r="I563" s="290"/>
    </row>
    <row r="564" spans="1:9">
      <c r="A564" s="1"/>
      <c r="B564" s="1"/>
      <c r="C564" s="63"/>
      <c r="D564" s="10"/>
      <c r="E564" s="270"/>
      <c r="F564" s="267"/>
      <c r="G564" s="273"/>
      <c r="H564" s="283"/>
      <c r="I564" s="290"/>
    </row>
    <row r="565" spans="1:9">
      <c r="A565" s="1"/>
      <c r="B565" s="1"/>
      <c r="C565" s="63"/>
      <c r="D565" s="10"/>
      <c r="E565" s="270"/>
      <c r="F565" s="267"/>
      <c r="G565" s="273"/>
      <c r="H565" s="283"/>
      <c r="I565" s="290"/>
    </row>
    <row r="566" spans="1:9">
      <c r="A566" s="1"/>
      <c r="B566" s="1"/>
      <c r="C566" s="63"/>
      <c r="D566" s="10"/>
      <c r="E566" s="270"/>
      <c r="F566" s="267"/>
      <c r="G566" s="273"/>
      <c r="H566" s="283"/>
      <c r="I566" s="290"/>
    </row>
    <row r="567" spans="1:9">
      <c r="A567" s="1"/>
      <c r="B567" s="1"/>
      <c r="C567" s="63"/>
      <c r="D567" s="10"/>
      <c r="E567" s="270"/>
      <c r="F567" s="267"/>
      <c r="G567" s="273"/>
      <c r="H567" s="283"/>
      <c r="I567" s="290"/>
    </row>
    <row r="568" spans="1:9">
      <c r="A568" s="1"/>
      <c r="B568" s="1"/>
      <c r="C568" s="63"/>
      <c r="D568" s="10"/>
      <c r="E568" s="270"/>
      <c r="F568" s="267"/>
      <c r="G568" s="273"/>
      <c r="H568" s="283"/>
      <c r="I568" s="290"/>
    </row>
    <row r="569" spans="1:9">
      <c r="A569" s="1"/>
      <c r="B569" s="1"/>
      <c r="C569" s="63"/>
      <c r="D569" s="10"/>
      <c r="E569" s="270"/>
      <c r="F569" s="267"/>
      <c r="G569" s="273"/>
      <c r="H569" s="283"/>
      <c r="I569" s="290"/>
    </row>
    <row r="570" spans="1:9">
      <c r="A570" s="1"/>
      <c r="B570" s="1"/>
      <c r="C570" s="63"/>
      <c r="D570" s="10"/>
      <c r="E570" s="270"/>
      <c r="F570" s="267"/>
      <c r="G570" s="273"/>
      <c r="H570" s="283"/>
      <c r="I570" s="290"/>
    </row>
    <row r="571" spans="1:9">
      <c r="A571" s="1"/>
      <c r="B571" s="1"/>
      <c r="C571" s="63"/>
      <c r="D571" s="10"/>
      <c r="E571" s="270"/>
      <c r="F571" s="267"/>
      <c r="G571" s="273"/>
      <c r="H571" s="283"/>
      <c r="I571" s="290"/>
    </row>
    <row r="572" spans="1:9">
      <c r="A572" s="1"/>
      <c r="B572" s="1"/>
      <c r="C572" s="63"/>
      <c r="D572" s="10"/>
      <c r="E572" s="270"/>
      <c r="F572" s="267"/>
      <c r="G572" s="273"/>
      <c r="H572" s="283"/>
      <c r="I572" s="290"/>
    </row>
    <row r="573" spans="1:9">
      <c r="A573" s="1"/>
      <c r="B573" s="1"/>
      <c r="C573" s="63"/>
      <c r="D573" s="10"/>
      <c r="E573" s="270"/>
      <c r="F573" s="267"/>
      <c r="G573" s="273"/>
      <c r="H573" s="283"/>
      <c r="I573" s="290"/>
    </row>
    <row r="574" spans="1:9">
      <c r="A574" s="1"/>
      <c r="B574" s="1"/>
      <c r="C574" s="63"/>
      <c r="D574" s="10"/>
      <c r="E574" s="270"/>
      <c r="F574" s="267"/>
      <c r="G574" s="273"/>
      <c r="H574" s="283"/>
      <c r="I574" s="290"/>
    </row>
    <row r="575" spans="1:9">
      <c r="A575" s="1"/>
      <c r="B575" s="1"/>
      <c r="C575" s="63"/>
      <c r="D575" s="10"/>
      <c r="E575" s="270"/>
      <c r="F575" s="267"/>
      <c r="G575" s="273"/>
      <c r="H575" s="283"/>
      <c r="I575" s="290"/>
    </row>
    <row r="576" spans="1:9">
      <c r="A576" s="1"/>
      <c r="B576" s="1"/>
      <c r="C576" s="63"/>
      <c r="D576" s="10"/>
      <c r="E576" s="270"/>
      <c r="F576" s="267"/>
      <c r="G576" s="273"/>
      <c r="H576" s="283"/>
      <c r="I576" s="290"/>
    </row>
    <row r="577" spans="1:9">
      <c r="A577" s="1"/>
      <c r="B577" s="1"/>
      <c r="C577" s="63"/>
      <c r="D577" s="10"/>
      <c r="E577" s="270"/>
      <c r="F577" s="267"/>
      <c r="G577" s="273"/>
      <c r="H577" s="283"/>
      <c r="I577" s="290"/>
    </row>
    <row r="578" spans="1:9">
      <c r="A578" s="1"/>
      <c r="B578" s="1"/>
      <c r="C578" s="63"/>
      <c r="D578" s="10"/>
      <c r="E578" s="270"/>
      <c r="F578" s="267"/>
      <c r="G578" s="273"/>
      <c r="H578" s="283"/>
      <c r="I578" s="290"/>
    </row>
    <row r="579" spans="1:9">
      <c r="A579" s="1"/>
      <c r="B579" s="1"/>
      <c r="C579" s="63"/>
      <c r="D579" s="10"/>
      <c r="E579" s="270"/>
      <c r="F579" s="267"/>
      <c r="G579" s="273"/>
      <c r="H579" s="283"/>
      <c r="I579" s="290"/>
    </row>
    <row r="580" spans="1:9">
      <c r="A580" s="1"/>
      <c r="B580" s="1"/>
      <c r="C580" s="63"/>
      <c r="D580" s="10"/>
      <c r="E580" s="270"/>
      <c r="F580" s="267"/>
      <c r="G580" s="273"/>
      <c r="H580" s="283"/>
      <c r="I580" s="290"/>
    </row>
    <row r="581" spans="1:9">
      <c r="A581" s="1"/>
      <c r="B581" s="1"/>
      <c r="C581" s="63"/>
      <c r="D581" s="10"/>
      <c r="E581" s="270"/>
      <c r="F581" s="267"/>
      <c r="G581" s="273"/>
      <c r="H581" s="283"/>
      <c r="I581" s="290"/>
    </row>
    <row r="582" spans="1:9">
      <c r="A582" s="1"/>
      <c r="B582" s="1"/>
      <c r="C582" s="63"/>
      <c r="D582" s="10"/>
      <c r="E582" s="270"/>
      <c r="F582" s="267"/>
      <c r="G582" s="273"/>
      <c r="H582" s="283"/>
      <c r="I582" s="290"/>
    </row>
    <row r="583" spans="1:9">
      <c r="A583" s="1"/>
      <c r="B583" s="1"/>
      <c r="C583" s="63"/>
      <c r="D583" s="10"/>
      <c r="E583" s="270"/>
      <c r="F583" s="267"/>
      <c r="G583" s="273"/>
      <c r="H583" s="283"/>
      <c r="I583" s="290"/>
    </row>
    <row r="584" spans="1:9">
      <c r="A584" s="1"/>
      <c r="B584" s="1"/>
      <c r="C584" s="63"/>
      <c r="D584" s="10"/>
      <c r="E584" s="270"/>
      <c r="F584" s="267"/>
      <c r="G584" s="273"/>
      <c r="H584" s="283"/>
      <c r="I584" s="290"/>
    </row>
    <row r="585" spans="1:9">
      <c r="A585" s="1"/>
      <c r="B585" s="1"/>
      <c r="C585" s="63"/>
      <c r="D585" s="10"/>
      <c r="E585" s="270"/>
      <c r="F585" s="267"/>
      <c r="G585" s="273"/>
      <c r="H585" s="283"/>
      <c r="I585" s="290"/>
    </row>
    <row r="586" spans="1:9">
      <c r="A586" s="1"/>
      <c r="B586" s="1"/>
      <c r="C586" s="63"/>
      <c r="D586" s="10"/>
      <c r="E586" s="270"/>
      <c r="F586" s="267"/>
      <c r="G586" s="273"/>
      <c r="H586" s="283"/>
      <c r="I586" s="290"/>
    </row>
    <row r="587" spans="1:9">
      <c r="A587" s="1"/>
      <c r="B587" s="1"/>
      <c r="C587" s="63"/>
      <c r="D587" s="10"/>
      <c r="E587" s="270"/>
      <c r="F587" s="267"/>
      <c r="G587" s="273"/>
      <c r="H587" s="283"/>
      <c r="I587" s="290"/>
    </row>
    <row r="588" spans="1:9">
      <c r="A588" s="1"/>
      <c r="B588" s="1"/>
      <c r="C588" s="63"/>
      <c r="D588" s="10"/>
      <c r="E588" s="270"/>
      <c r="F588" s="267"/>
      <c r="G588" s="273"/>
      <c r="H588" s="283"/>
      <c r="I588" s="290"/>
    </row>
    <row r="589" spans="1:9">
      <c r="A589" s="1"/>
      <c r="B589" s="1"/>
      <c r="C589" s="63"/>
      <c r="D589" s="10"/>
      <c r="E589" s="270"/>
      <c r="F589" s="267"/>
      <c r="G589" s="273"/>
      <c r="H589" s="283"/>
      <c r="I589" s="290"/>
    </row>
    <row r="590" spans="1:9">
      <c r="A590" s="1"/>
      <c r="B590" s="1"/>
      <c r="C590" s="63"/>
      <c r="D590" s="10"/>
      <c r="E590" s="270"/>
      <c r="F590" s="267"/>
      <c r="G590" s="273"/>
      <c r="H590" s="283"/>
      <c r="I590" s="290"/>
    </row>
    <row r="591" spans="1:9">
      <c r="A591" s="1"/>
      <c r="B591" s="1"/>
      <c r="C591" s="63"/>
      <c r="D591" s="10"/>
      <c r="E591" s="270"/>
      <c r="F591" s="267"/>
      <c r="G591" s="273"/>
      <c r="H591" s="283"/>
      <c r="I591" s="290"/>
    </row>
    <row r="592" spans="1:9">
      <c r="A592" s="1"/>
      <c r="B592" s="1"/>
      <c r="C592" s="63"/>
      <c r="D592" s="10"/>
      <c r="E592" s="270"/>
      <c r="F592" s="267"/>
      <c r="G592" s="273"/>
      <c r="H592" s="283"/>
      <c r="I592" s="290"/>
    </row>
    <row r="593" spans="1:9">
      <c r="A593" s="1"/>
      <c r="B593" s="1"/>
      <c r="C593" s="63"/>
      <c r="D593" s="10"/>
      <c r="E593" s="270"/>
      <c r="F593" s="267"/>
      <c r="G593" s="273"/>
      <c r="H593" s="283"/>
      <c r="I593" s="290"/>
    </row>
    <row r="594" spans="1:9">
      <c r="A594" s="1"/>
      <c r="B594" s="1"/>
      <c r="C594" s="63"/>
      <c r="D594" s="10"/>
      <c r="E594" s="270"/>
      <c r="F594" s="267"/>
      <c r="G594" s="273"/>
      <c r="H594" s="283"/>
      <c r="I594" s="290"/>
    </row>
    <row r="595" spans="1:9">
      <c r="A595" s="1"/>
      <c r="B595" s="1"/>
      <c r="C595" s="63"/>
      <c r="D595" s="10"/>
      <c r="E595" s="270"/>
      <c r="F595" s="267"/>
      <c r="G595" s="273"/>
      <c r="H595" s="283"/>
      <c r="I595" s="290"/>
    </row>
    <row r="596" spans="1:9">
      <c r="A596" s="1"/>
      <c r="B596" s="1"/>
      <c r="C596" s="63"/>
      <c r="D596" s="10"/>
      <c r="E596" s="270"/>
      <c r="F596" s="267"/>
      <c r="G596" s="273"/>
      <c r="H596" s="283"/>
      <c r="I596" s="290"/>
    </row>
    <row r="597" spans="1:9">
      <c r="A597" s="1"/>
      <c r="B597" s="1"/>
      <c r="C597" s="63"/>
      <c r="D597" s="10"/>
      <c r="E597" s="270"/>
      <c r="F597" s="267"/>
      <c r="G597" s="273"/>
      <c r="H597" s="283"/>
      <c r="I597" s="290"/>
    </row>
    <row r="598" spans="1:9">
      <c r="A598" s="1"/>
      <c r="B598" s="1"/>
      <c r="C598" s="63"/>
      <c r="D598" s="10"/>
      <c r="E598" s="270"/>
      <c r="F598" s="267"/>
      <c r="G598" s="273"/>
      <c r="H598" s="283"/>
      <c r="I598" s="290"/>
    </row>
    <row r="599" spans="1:9">
      <c r="A599" s="1"/>
      <c r="B599" s="1"/>
      <c r="C599" s="63"/>
      <c r="D599" s="10"/>
      <c r="E599" s="270"/>
      <c r="F599" s="267"/>
      <c r="G599" s="273"/>
      <c r="H599" s="283"/>
      <c r="I599" s="290"/>
    </row>
    <row r="600" spans="1:9">
      <c r="A600" s="1"/>
      <c r="B600" s="1"/>
      <c r="C600" s="63"/>
      <c r="D600" s="10"/>
      <c r="E600" s="270"/>
      <c r="F600" s="267"/>
      <c r="G600" s="273"/>
      <c r="H600" s="283"/>
      <c r="I600" s="290"/>
    </row>
    <row r="601" spans="1:9">
      <c r="A601" s="1"/>
      <c r="B601" s="1"/>
      <c r="C601" s="63"/>
      <c r="D601" s="10"/>
      <c r="E601" s="270"/>
      <c r="F601" s="267"/>
      <c r="G601" s="273"/>
      <c r="H601" s="283"/>
      <c r="I601" s="290"/>
    </row>
    <row r="602" spans="1:9">
      <c r="A602" s="1"/>
      <c r="B602" s="1"/>
      <c r="C602" s="63"/>
      <c r="D602" s="10"/>
      <c r="E602" s="270"/>
      <c r="F602" s="267"/>
      <c r="G602" s="273"/>
      <c r="H602" s="283"/>
      <c r="I602" s="290"/>
    </row>
    <row r="603" spans="1:9">
      <c r="A603" s="1"/>
      <c r="B603" s="1"/>
      <c r="C603" s="63"/>
      <c r="D603" s="10"/>
      <c r="E603" s="270"/>
      <c r="F603" s="267"/>
      <c r="G603" s="273"/>
      <c r="H603" s="283"/>
      <c r="I603" s="290"/>
    </row>
    <row r="604" spans="1:9">
      <c r="A604" s="1"/>
      <c r="B604" s="1"/>
      <c r="C604" s="63"/>
      <c r="D604" s="10"/>
      <c r="E604" s="270"/>
      <c r="F604" s="267"/>
      <c r="G604" s="273"/>
      <c r="H604" s="283"/>
      <c r="I604" s="290"/>
    </row>
    <row r="605" spans="1:9">
      <c r="A605" s="1"/>
      <c r="B605" s="1"/>
      <c r="C605" s="63"/>
      <c r="D605" s="10"/>
      <c r="E605" s="270"/>
      <c r="F605" s="267"/>
      <c r="G605" s="273"/>
      <c r="H605" s="283"/>
      <c r="I605" s="290"/>
    </row>
    <row r="606" spans="1:9">
      <c r="A606" s="1"/>
      <c r="B606" s="1"/>
      <c r="C606" s="63"/>
      <c r="D606" s="10"/>
      <c r="E606" s="270"/>
      <c r="F606" s="267"/>
      <c r="G606" s="273"/>
      <c r="H606" s="283"/>
      <c r="I606" s="290"/>
    </row>
    <row r="607" spans="1:9">
      <c r="A607" s="1"/>
      <c r="B607" s="1"/>
      <c r="C607" s="63"/>
      <c r="D607" s="10"/>
      <c r="E607" s="270"/>
      <c r="F607" s="267"/>
      <c r="G607" s="273"/>
      <c r="H607" s="283"/>
      <c r="I607" s="290"/>
    </row>
    <row r="608" spans="1:9">
      <c r="A608" s="1"/>
      <c r="B608" s="1"/>
      <c r="C608" s="63"/>
      <c r="D608" s="10"/>
      <c r="E608" s="270"/>
      <c r="F608" s="267"/>
      <c r="G608" s="273"/>
      <c r="H608" s="283"/>
      <c r="I608" s="290"/>
    </row>
    <row r="609" spans="1:9">
      <c r="A609" s="1"/>
      <c r="B609" s="1"/>
      <c r="C609" s="63"/>
      <c r="D609" s="10"/>
      <c r="E609" s="270"/>
      <c r="F609" s="267"/>
      <c r="G609" s="273"/>
      <c r="H609" s="283"/>
      <c r="I609" s="290"/>
    </row>
    <row r="610" spans="1:9">
      <c r="A610" s="1"/>
      <c r="B610" s="1"/>
      <c r="C610" s="63"/>
      <c r="D610" s="10"/>
      <c r="E610" s="270"/>
      <c r="F610" s="267"/>
      <c r="G610" s="273"/>
      <c r="H610" s="283"/>
      <c r="I610" s="290"/>
    </row>
    <row r="611" spans="1:9">
      <c r="A611" s="1"/>
      <c r="B611" s="1"/>
      <c r="C611" s="63"/>
      <c r="D611" s="10"/>
      <c r="E611" s="270"/>
      <c r="F611" s="267"/>
      <c r="G611" s="273"/>
      <c r="H611" s="283"/>
      <c r="I611" s="290"/>
    </row>
    <row r="612" spans="1:9">
      <c r="A612" s="1"/>
      <c r="B612" s="1"/>
      <c r="C612" s="63"/>
      <c r="D612" s="10"/>
      <c r="E612" s="270"/>
      <c r="F612" s="267"/>
      <c r="G612" s="273"/>
      <c r="H612" s="283"/>
      <c r="I612" s="290"/>
    </row>
    <row r="613" spans="1:9">
      <c r="A613" s="1"/>
      <c r="B613" s="1"/>
      <c r="C613" s="63"/>
      <c r="D613" s="10"/>
      <c r="E613" s="270"/>
      <c r="F613" s="267"/>
      <c r="G613" s="273"/>
      <c r="H613" s="283"/>
      <c r="I613" s="290"/>
    </row>
    <row r="614" spans="1:9">
      <c r="A614" s="1"/>
      <c r="B614" s="1"/>
      <c r="C614" s="63"/>
      <c r="D614" s="10"/>
      <c r="E614" s="270"/>
      <c r="F614" s="267"/>
      <c r="G614" s="273"/>
      <c r="H614" s="283"/>
      <c r="I614" s="290"/>
    </row>
    <row r="615" spans="1:9">
      <c r="A615" s="1"/>
      <c r="B615" s="1"/>
      <c r="C615" s="63"/>
      <c r="D615" s="10"/>
      <c r="E615" s="270"/>
      <c r="F615" s="267"/>
      <c r="G615" s="273"/>
      <c r="H615" s="283"/>
      <c r="I615" s="290"/>
    </row>
    <row r="616" spans="1:9">
      <c r="A616" s="1"/>
      <c r="B616" s="1"/>
      <c r="C616" s="63"/>
      <c r="D616" s="10"/>
      <c r="E616" s="270"/>
      <c r="F616" s="267"/>
      <c r="G616" s="273"/>
      <c r="H616" s="283"/>
      <c r="I616" s="290"/>
    </row>
    <row r="617" spans="1:9">
      <c r="A617" s="1"/>
      <c r="B617" s="1"/>
      <c r="C617" s="63"/>
      <c r="D617" s="10"/>
      <c r="E617" s="270"/>
      <c r="F617" s="267"/>
      <c r="G617" s="273"/>
      <c r="H617" s="283"/>
      <c r="I617" s="290"/>
    </row>
    <row r="618" spans="1:9">
      <c r="A618" s="1"/>
      <c r="B618" s="1"/>
      <c r="C618" s="63"/>
      <c r="D618" s="10"/>
      <c r="E618" s="270"/>
      <c r="F618" s="267"/>
      <c r="G618" s="273"/>
      <c r="H618" s="283"/>
      <c r="I618" s="290"/>
    </row>
    <row r="619" spans="1:9">
      <c r="A619" s="1"/>
      <c r="B619" s="1"/>
      <c r="C619" s="63"/>
      <c r="D619" s="10"/>
      <c r="E619" s="270"/>
      <c r="F619" s="267"/>
      <c r="G619" s="273"/>
      <c r="H619" s="283"/>
      <c r="I619" s="290"/>
    </row>
    <row r="620" spans="1:9">
      <c r="A620" s="1"/>
      <c r="B620" s="1"/>
      <c r="C620" s="63"/>
      <c r="D620" s="10"/>
      <c r="E620" s="270"/>
      <c r="F620" s="267"/>
      <c r="G620" s="273"/>
      <c r="H620" s="283"/>
      <c r="I620" s="290"/>
    </row>
    <row r="621" spans="1:9">
      <c r="A621" s="1"/>
      <c r="B621" s="1"/>
      <c r="C621" s="63"/>
      <c r="D621" s="10"/>
      <c r="E621" s="270"/>
      <c r="F621" s="267"/>
      <c r="G621" s="273"/>
      <c r="H621" s="283"/>
      <c r="I621" s="290"/>
    </row>
    <row r="622" spans="1:9">
      <c r="A622" s="1"/>
      <c r="B622" s="1"/>
      <c r="C622" s="63"/>
      <c r="D622" s="10"/>
      <c r="E622" s="270"/>
      <c r="F622" s="267"/>
      <c r="G622" s="273"/>
      <c r="H622" s="283"/>
      <c r="I622" s="290"/>
    </row>
    <row r="623" spans="1:9">
      <c r="A623" s="1"/>
      <c r="B623" s="1"/>
      <c r="C623" s="63"/>
      <c r="D623" s="10"/>
      <c r="E623" s="270"/>
      <c r="F623" s="267"/>
      <c r="G623" s="273"/>
      <c r="H623" s="283"/>
      <c r="I623" s="290"/>
    </row>
    <row r="624" spans="1:9">
      <c r="A624" s="1"/>
      <c r="B624" s="1"/>
      <c r="C624" s="63"/>
      <c r="D624" s="10"/>
      <c r="E624" s="270"/>
      <c r="F624" s="267"/>
      <c r="G624" s="273"/>
      <c r="H624" s="283"/>
      <c r="I624" s="290"/>
    </row>
    <row r="625" spans="1:9">
      <c r="A625" s="1"/>
      <c r="B625" s="1"/>
      <c r="C625" s="63"/>
      <c r="D625" s="10"/>
      <c r="E625" s="270"/>
      <c r="F625" s="267"/>
      <c r="G625" s="273"/>
      <c r="H625" s="283"/>
      <c r="I625" s="290"/>
    </row>
    <row r="626" spans="1:9">
      <c r="A626" s="1"/>
      <c r="B626" s="1"/>
      <c r="C626" s="63"/>
      <c r="D626" s="10"/>
      <c r="E626" s="270"/>
      <c r="F626" s="267"/>
      <c r="G626" s="273"/>
      <c r="H626" s="283"/>
      <c r="I626" s="290"/>
    </row>
    <row r="627" spans="1:9">
      <c r="A627" s="1"/>
      <c r="B627" s="1"/>
      <c r="C627" s="63"/>
      <c r="D627" s="10"/>
      <c r="E627" s="270"/>
      <c r="F627" s="267"/>
      <c r="G627" s="273"/>
      <c r="H627" s="283"/>
      <c r="I627" s="290"/>
    </row>
    <row r="628" spans="1:9">
      <c r="A628" s="1"/>
      <c r="B628" s="1"/>
      <c r="C628" s="63"/>
      <c r="D628" s="10"/>
      <c r="E628" s="270"/>
      <c r="F628" s="267"/>
      <c r="G628" s="273"/>
      <c r="H628" s="283"/>
      <c r="I628" s="290"/>
    </row>
    <row r="629" spans="1:9">
      <c r="A629" s="1"/>
      <c r="B629" s="1"/>
      <c r="C629" s="63"/>
      <c r="D629" s="10"/>
      <c r="E629" s="270"/>
      <c r="F629" s="267"/>
      <c r="G629" s="273"/>
      <c r="H629" s="283"/>
      <c r="I629" s="290"/>
    </row>
    <row r="630" spans="1:9">
      <c r="A630" s="1"/>
      <c r="B630" s="1"/>
      <c r="C630" s="63"/>
      <c r="D630" s="10"/>
      <c r="E630" s="270"/>
      <c r="F630" s="267"/>
      <c r="G630" s="273"/>
      <c r="H630" s="283"/>
      <c r="I630" s="290"/>
    </row>
    <row r="631" spans="1:9">
      <c r="A631" s="1"/>
      <c r="B631" s="1"/>
      <c r="C631" s="63"/>
      <c r="D631" s="10"/>
      <c r="E631" s="270"/>
      <c r="F631" s="267"/>
      <c r="G631" s="273"/>
      <c r="H631" s="283"/>
      <c r="I631" s="290"/>
    </row>
    <row r="632" spans="1:9">
      <c r="A632" s="1"/>
      <c r="B632" s="1"/>
      <c r="C632" s="63"/>
      <c r="D632" s="10"/>
      <c r="E632" s="270"/>
      <c r="F632" s="267"/>
      <c r="G632" s="273"/>
      <c r="H632" s="283"/>
      <c r="I632" s="290"/>
    </row>
    <row r="633" spans="1:9">
      <c r="A633" s="1"/>
      <c r="B633" s="1"/>
      <c r="C633" s="63"/>
      <c r="D633" s="10"/>
      <c r="E633" s="270"/>
      <c r="F633" s="267"/>
      <c r="G633" s="273"/>
      <c r="H633" s="283"/>
      <c r="I633" s="290"/>
    </row>
    <row r="634" spans="1:9">
      <c r="A634" s="1"/>
      <c r="B634" s="1"/>
      <c r="C634" s="63"/>
      <c r="D634" s="10"/>
      <c r="E634" s="270"/>
      <c r="F634" s="267"/>
      <c r="G634" s="273"/>
      <c r="H634" s="283"/>
      <c r="I634" s="290"/>
    </row>
    <row r="635" spans="1:9">
      <c r="A635" s="1"/>
      <c r="B635" s="1"/>
      <c r="C635" s="63"/>
      <c r="D635" s="10"/>
      <c r="E635" s="270"/>
      <c r="F635" s="267"/>
      <c r="G635" s="273"/>
      <c r="H635" s="283"/>
      <c r="I635" s="290"/>
    </row>
    <row r="636" spans="1:9">
      <c r="A636" s="1"/>
      <c r="B636" s="1"/>
      <c r="C636" s="63"/>
      <c r="D636" s="10"/>
      <c r="E636" s="270"/>
      <c r="F636" s="267"/>
      <c r="G636" s="273"/>
      <c r="H636" s="283"/>
      <c r="I636" s="290"/>
    </row>
    <row r="637" spans="1:9">
      <c r="A637" s="1"/>
      <c r="B637" s="1"/>
      <c r="C637" s="63"/>
      <c r="D637" s="10"/>
      <c r="E637" s="270"/>
      <c r="F637" s="267"/>
      <c r="G637" s="273"/>
      <c r="H637" s="283"/>
      <c r="I637" s="290"/>
    </row>
    <row r="638" spans="1:9">
      <c r="A638" s="1"/>
      <c r="B638" s="1"/>
      <c r="C638" s="63"/>
      <c r="D638" s="10"/>
      <c r="E638" s="270"/>
      <c r="F638" s="267"/>
      <c r="G638" s="273"/>
      <c r="H638" s="283"/>
      <c r="I638" s="290"/>
    </row>
    <row r="639" spans="1:9">
      <c r="A639" s="1"/>
      <c r="B639" s="1"/>
      <c r="C639" s="63"/>
      <c r="D639" s="10"/>
      <c r="E639" s="270"/>
      <c r="F639" s="267"/>
      <c r="G639" s="273"/>
      <c r="H639" s="283"/>
      <c r="I639" s="290"/>
    </row>
    <row r="640" spans="1:9">
      <c r="A640" s="1"/>
      <c r="B640" s="1"/>
      <c r="C640" s="63"/>
      <c r="D640" s="10"/>
      <c r="E640" s="270"/>
      <c r="F640" s="267"/>
      <c r="G640" s="273"/>
      <c r="H640" s="283"/>
      <c r="I640" s="290"/>
    </row>
    <row r="641" spans="1:9">
      <c r="A641" s="1"/>
      <c r="B641" s="1"/>
      <c r="C641" s="63"/>
      <c r="D641" s="10"/>
      <c r="E641" s="270"/>
      <c r="F641" s="267"/>
      <c r="G641" s="273"/>
      <c r="H641" s="283"/>
      <c r="I641" s="290"/>
    </row>
    <row r="642" spans="1:9">
      <c r="A642" s="1"/>
      <c r="B642" s="1"/>
      <c r="C642" s="63"/>
      <c r="D642" s="10"/>
      <c r="E642" s="270"/>
      <c r="F642" s="267"/>
      <c r="G642" s="273"/>
      <c r="H642" s="283"/>
      <c r="I642" s="290"/>
    </row>
    <row r="643" spans="1:9">
      <c r="A643" s="1"/>
      <c r="B643" s="1"/>
      <c r="C643" s="63"/>
      <c r="D643" s="10"/>
      <c r="E643" s="270"/>
      <c r="F643" s="267"/>
      <c r="G643" s="273"/>
      <c r="H643" s="283"/>
      <c r="I643" s="290"/>
    </row>
    <row r="644" spans="1:9">
      <c r="A644" s="1"/>
      <c r="B644" s="1"/>
      <c r="C644" s="63"/>
      <c r="D644" s="10"/>
      <c r="E644" s="270"/>
      <c r="F644" s="267"/>
      <c r="G644" s="273"/>
      <c r="H644" s="283"/>
      <c r="I644" s="290"/>
    </row>
    <row r="645" spans="1:9">
      <c r="A645" s="1"/>
      <c r="B645" s="1"/>
      <c r="C645" s="63"/>
      <c r="D645" s="10"/>
      <c r="E645" s="270"/>
      <c r="F645" s="267"/>
      <c r="G645" s="273"/>
      <c r="H645" s="283"/>
      <c r="I645" s="290"/>
    </row>
    <row r="646" spans="1:9">
      <c r="A646" s="1"/>
      <c r="B646" s="1"/>
      <c r="C646" s="63"/>
      <c r="D646" s="10"/>
      <c r="E646" s="270"/>
      <c r="F646" s="267"/>
      <c r="G646" s="273"/>
      <c r="H646" s="283"/>
      <c r="I646" s="290"/>
    </row>
    <row r="647" spans="1:9">
      <c r="A647" s="1"/>
      <c r="B647" s="1"/>
      <c r="C647" s="63"/>
      <c r="D647" s="10"/>
      <c r="E647" s="270"/>
      <c r="F647" s="267"/>
      <c r="G647" s="273"/>
      <c r="H647" s="283"/>
      <c r="I647" s="290"/>
    </row>
    <row r="648" spans="1:9">
      <c r="A648" s="1"/>
      <c r="B648" s="1"/>
      <c r="C648" s="63"/>
      <c r="D648" s="10"/>
      <c r="E648" s="270"/>
      <c r="F648" s="267"/>
      <c r="G648" s="273"/>
      <c r="H648" s="283"/>
      <c r="I648" s="290"/>
    </row>
    <row r="649" spans="1:9">
      <c r="A649" s="1"/>
      <c r="B649" s="1"/>
      <c r="C649" s="63"/>
      <c r="D649" s="10"/>
      <c r="E649" s="270"/>
      <c r="F649" s="267"/>
      <c r="G649" s="273"/>
      <c r="H649" s="283"/>
      <c r="I649" s="290"/>
    </row>
    <row r="650" spans="1:9">
      <c r="A650" s="1"/>
      <c r="B650" s="1"/>
      <c r="C650" s="63"/>
      <c r="D650" s="10"/>
      <c r="E650" s="270"/>
      <c r="F650" s="267"/>
      <c r="G650" s="273"/>
      <c r="H650" s="283"/>
      <c r="I650" s="290"/>
    </row>
    <row r="651" spans="1:9">
      <c r="A651" s="1"/>
      <c r="B651" s="1"/>
      <c r="C651" s="63"/>
      <c r="D651" s="10"/>
      <c r="E651" s="270"/>
      <c r="F651" s="267"/>
      <c r="G651" s="273"/>
      <c r="H651" s="283"/>
      <c r="I651" s="290"/>
    </row>
    <row r="652" spans="1:9">
      <c r="A652" s="1"/>
      <c r="B652" s="1"/>
      <c r="C652" s="63"/>
      <c r="D652" s="10"/>
      <c r="E652" s="270"/>
      <c r="F652" s="267"/>
      <c r="G652" s="273"/>
      <c r="H652" s="283"/>
      <c r="I652" s="290"/>
    </row>
    <row r="653" spans="1:9">
      <c r="A653" s="1"/>
      <c r="B653" s="1"/>
      <c r="C653" s="63"/>
      <c r="D653" s="10"/>
      <c r="E653" s="270"/>
      <c r="F653" s="267"/>
      <c r="G653" s="273"/>
      <c r="H653" s="283"/>
      <c r="I653" s="290"/>
    </row>
    <row r="654" spans="1:9">
      <c r="A654" s="1"/>
      <c r="B654" s="1"/>
      <c r="C654" s="63"/>
      <c r="D654" s="10"/>
      <c r="E654" s="270"/>
      <c r="F654" s="267"/>
      <c r="G654" s="273"/>
      <c r="H654" s="283"/>
      <c r="I654" s="290"/>
    </row>
    <row r="655" spans="1:9">
      <c r="A655" s="1"/>
      <c r="B655" s="1"/>
      <c r="C655" s="63"/>
      <c r="D655" s="10"/>
      <c r="E655" s="270"/>
      <c r="F655" s="267"/>
      <c r="G655" s="273"/>
      <c r="H655" s="283"/>
      <c r="I655" s="290"/>
    </row>
    <row r="656" spans="1:9">
      <c r="A656" s="1"/>
      <c r="B656" s="1"/>
      <c r="C656" s="63"/>
      <c r="D656" s="10"/>
      <c r="E656" s="270"/>
      <c r="F656" s="267"/>
      <c r="G656" s="273"/>
      <c r="H656" s="283"/>
      <c r="I656" s="290"/>
    </row>
    <row r="657" spans="1:9">
      <c r="A657" s="1"/>
      <c r="B657" s="1"/>
      <c r="C657" s="63"/>
      <c r="D657" s="10"/>
      <c r="E657" s="270"/>
      <c r="F657" s="267"/>
      <c r="G657" s="273"/>
      <c r="H657" s="283"/>
      <c r="I657" s="290"/>
    </row>
    <row r="658" spans="1:9">
      <c r="A658" s="1"/>
      <c r="B658" s="1"/>
      <c r="C658" s="63"/>
      <c r="D658" s="10"/>
      <c r="E658" s="270"/>
      <c r="F658" s="267"/>
      <c r="G658" s="273"/>
      <c r="H658" s="283"/>
      <c r="I658" s="290"/>
    </row>
    <row r="659" spans="1:9">
      <c r="A659" s="1"/>
      <c r="B659" s="1"/>
      <c r="C659" s="63"/>
      <c r="D659" s="10"/>
      <c r="E659" s="270"/>
      <c r="F659" s="267"/>
      <c r="G659" s="273"/>
      <c r="H659" s="283"/>
      <c r="I659" s="290"/>
    </row>
    <row r="660" spans="1:9">
      <c r="A660" s="1"/>
      <c r="B660" s="1"/>
      <c r="C660" s="63"/>
      <c r="D660" s="10"/>
      <c r="E660" s="270"/>
      <c r="F660" s="267"/>
      <c r="G660" s="273"/>
      <c r="H660" s="283"/>
      <c r="I660" s="290"/>
    </row>
    <row r="661" spans="1:9">
      <c r="A661" s="1"/>
      <c r="B661" s="1"/>
      <c r="C661" s="63"/>
      <c r="D661" s="10"/>
      <c r="E661" s="270"/>
      <c r="F661" s="267"/>
      <c r="G661" s="273"/>
      <c r="H661" s="283"/>
      <c r="I661" s="290"/>
    </row>
    <row r="662" spans="1:9">
      <c r="A662" s="1"/>
      <c r="B662" s="1"/>
      <c r="C662" s="63"/>
      <c r="D662" s="10"/>
      <c r="E662" s="270"/>
      <c r="F662" s="267"/>
      <c r="G662" s="273"/>
      <c r="H662" s="283"/>
      <c r="I662" s="290"/>
    </row>
    <row r="663" spans="1:9">
      <c r="A663" s="1"/>
      <c r="B663" s="1"/>
      <c r="C663" s="63"/>
      <c r="D663" s="10"/>
      <c r="E663" s="270"/>
      <c r="F663" s="267"/>
      <c r="G663" s="273"/>
      <c r="H663" s="283"/>
      <c r="I663" s="290"/>
    </row>
    <row r="664" spans="1:9">
      <c r="A664" s="1"/>
      <c r="B664" s="1"/>
      <c r="C664" s="63"/>
      <c r="D664" s="10"/>
      <c r="E664" s="270"/>
      <c r="F664" s="267"/>
      <c r="G664" s="273"/>
      <c r="H664" s="283"/>
      <c r="I664" s="290"/>
    </row>
    <row r="665" spans="1:9">
      <c r="A665" s="1"/>
      <c r="B665" s="1"/>
      <c r="C665" s="63"/>
      <c r="D665" s="10"/>
      <c r="E665" s="270"/>
      <c r="F665" s="267"/>
      <c r="G665" s="273"/>
      <c r="H665" s="283"/>
      <c r="I665" s="290"/>
    </row>
    <row r="666" spans="1:9">
      <c r="A666" s="1"/>
      <c r="B666" s="1"/>
      <c r="C666" s="63"/>
      <c r="D666" s="10"/>
      <c r="E666" s="270"/>
      <c r="F666" s="267"/>
      <c r="G666" s="273"/>
      <c r="H666" s="283"/>
      <c r="I666" s="290"/>
    </row>
    <row r="667" spans="1:9">
      <c r="A667" s="1"/>
      <c r="B667" s="1"/>
      <c r="C667" s="63"/>
      <c r="D667" s="10"/>
      <c r="E667" s="270"/>
      <c r="F667" s="267"/>
      <c r="G667" s="273"/>
      <c r="H667" s="283"/>
      <c r="I667" s="290"/>
    </row>
    <row r="668" spans="1:9">
      <c r="A668" s="1"/>
      <c r="B668" s="1"/>
      <c r="C668" s="63"/>
      <c r="D668" s="10"/>
      <c r="E668" s="270"/>
      <c r="F668" s="267"/>
      <c r="G668" s="273"/>
      <c r="H668" s="283"/>
      <c r="I668" s="290"/>
    </row>
    <row r="669" spans="1:9">
      <c r="A669" s="1"/>
      <c r="B669" s="1"/>
      <c r="C669" s="63"/>
      <c r="D669" s="10"/>
      <c r="E669" s="270"/>
      <c r="F669" s="267"/>
      <c r="G669" s="273"/>
      <c r="H669" s="283"/>
      <c r="I669" s="290"/>
    </row>
    <row r="670" spans="1:9">
      <c r="A670" s="1"/>
      <c r="B670" s="1"/>
      <c r="C670" s="63"/>
      <c r="D670" s="10"/>
      <c r="E670" s="270"/>
      <c r="F670" s="267"/>
      <c r="G670" s="273"/>
      <c r="H670" s="283"/>
      <c r="I670" s="290"/>
    </row>
    <row r="671" spans="1:9">
      <c r="A671" s="1"/>
      <c r="B671" s="1"/>
      <c r="C671" s="63"/>
      <c r="D671" s="10"/>
      <c r="E671" s="270"/>
      <c r="F671" s="267"/>
      <c r="G671" s="273"/>
      <c r="H671" s="283"/>
      <c r="I671" s="290"/>
    </row>
    <row r="672" spans="1:9">
      <c r="A672" s="1"/>
      <c r="B672" s="1"/>
      <c r="C672" s="63"/>
      <c r="D672" s="10"/>
      <c r="E672" s="270"/>
      <c r="F672" s="267"/>
      <c r="G672" s="273"/>
      <c r="H672" s="283"/>
      <c r="I672" s="290"/>
    </row>
    <row r="673" spans="1:9">
      <c r="A673" s="1"/>
      <c r="B673" s="1"/>
      <c r="C673" s="63"/>
      <c r="D673" s="10"/>
      <c r="E673" s="270"/>
      <c r="F673" s="267"/>
      <c r="G673" s="273"/>
      <c r="H673" s="283"/>
      <c r="I673" s="290"/>
    </row>
    <row r="674" spans="1:9">
      <c r="A674" s="1"/>
      <c r="B674" s="1"/>
      <c r="C674" s="63"/>
      <c r="D674" s="10"/>
      <c r="E674" s="270"/>
      <c r="F674" s="267"/>
      <c r="G674" s="273"/>
      <c r="H674" s="283"/>
      <c r="I674" s="290"/>
    </row>
    <row r="675" spans="1:9">
      <c r="A675" s="1"/>
      <c r="B675" s="1"/>
      <c r="C675" s="63"/>
      <c r="D675" s="10"/>
      <c r="E675" s="270"/>
      <c r="F675" s="267"/>
      <c r="G675" s="273"/>
      <c r="H675" s="283"/>
      <c r="I675" s="290"/>
    </row>
    <row r="676" spans="1:9">
      <c r="A676" s="1"/>
      <c r="B676" s="1"/>
      <c r="C676" s="63"/>
      <c r="D676" s="10"/>
      <c r="E676" s="270"/>
      <c r="F676" s="267"/>
      <c r="G676" s="273"/>
      <c r="H676" s="283"/>
      <c r="I676" s="290"/>
    </row>
    <row r="677" spans="1:9">
      <c r="A677" s="1"/>
      <c r="B677" s="1"/>
      <c r="C677" s="63"/>
      <c r="D677" s="10"/>
      <c r="E677" s="270"/>
      <c r="F677" s="267"/>
      <c r="G677" s="273"/>
      <c r="H677" s="283"/>
      <c r="I677" s="290"/>
    </row>
    <row r="678" spans="1:9">
      <c r="A678" s="1"/>
      <c r="B678" s="1"/>
      <c r="C678" s="63"/>
      <c r="D678" s="10"/>
      <c r="E678" s="270"/>
      <c r="F678" s="267"/>
      <c r="G678" s="273"/>
      <c r="H678" s="283"/>
      <c r="I678" s="290"/>
    </row>
    <row r="679" spans="1:9">
      <c r="A679" s="1"/>
      <c r="B679" s="1"/>
      <c r="C679" s="63"/>
      <c r="D679" s="10"/>
      <c r="E679" s="270"/>
      <c r="F679" s="267"/>
      <c r="G679" s="273"/>
      <c r="H679" s="283"/>
      <c r="I679" s="290"/>
    </row>
    <row r="680" spans="1:9">
      <c r="A680" s="1"/>
      <c r="B680" s="1"/>
      <c r="C680" s="63"/>
      <c r="D680" s="10"/>
      <c r="E680" s="270"/>
      <c r="F680" s="267"/>
      <c r="G680" s="273"/>
      <c r="H680" s="283"/>
      <c r="I680" s="290"/>
    </row>
    <row r="681" spans="1:9">
      <c r="A681" s="1"/>
      <c r="B681" s="1"/>
      <c r="C681" s="63"/>
      <c r="D681" s="10"/>
      <c r="E681" s="270"/>
      <c r="F681" s="267"/>
      <c r="G681" s="273"/>
      <c r="H681" s="283"/>
      <c r="I681" s="290"/>
    </row>
    <row r="682" spans="1:9">
      <c r="A682" s="1"/>
      <c r="B682" s="1"/>
      <c r="C682" s="63"/>
      <c r="D682" s="10"/>
      <c r="E682" s="270"/>
      <c r="F682" s="267"/>
      <c r="G682" s="273"/>
      <c r="H682" s="283"/>
      <c r="I682" s="290"/>
    </row>
    <row r="683" spans="1:9">
      <c r="A683" s="1"/>
      <c r="B683" s="1"/>
      <c r="C683" s="63"/>
      <c r="D683" s="10"/>
      <c r="E683" s="270"/>
      <c r="F683" s="267"/>
      <c r="G683" s="273"/>
      <c r="H683" s="283"/>
      <c r="I683" s="290"/>
    </row>
    <row r="684" spans="1:9">
      <c r="A684" s="1"/>
      <c r="B684" s="1"/>
      <c r="C684" s="63"/>
      <c r="D684" s="10"/>
      <c r="E684" s="270"/>
      <c r="F684" s="267"/>
      <c r="G684" s="273"/>
      <c r="H684" s="283"/>
      <c r="I684" s="290"/>
    </row>
    <row r="685" spans="1:9">
      <c r="A685" s="1"/>
      <c r="B685" s="1"/>
      <c r="C685" s="63"/>
      <c r="D685" s="10"/>
      <c r="E685" s="270"/>
      <c r="F685" s="267"/>
      <c r="G685" s="273"/>
      <c r="H685" s="283"/>
      <c r="I685" s="290"/>
    </row>
    <row r="686" spans="1:9">
      <c r="A686" s="1"/>
      <c r="B686" s="1"/>
      <c r="C686" s="63"/>
      <c r="D686" s="10"/>
      <c r="E686" s="270"/>
      <c r="F686" s="267"/>
      <c r="G686" s="273"/>
      <c r="H686" s="283"/>
      <c r="I686" s="290"/>
    </row>
    <row r="687" spans="1:9">
      <c r="A687" s="1"/>
      <c r="B687" s="1"/>
      <c r="C687" s="63"/>
      <c r="D687" s="10"/>
      <c r="E687" s="270"/>
      <c r="F687" s="267"/>
      <c r="G687" s="273"/>
      <c r="H687" s="283"/>
      <c r="I687" s="290"/>
    </row>
    <row r="688" spans="1:9">
      <c r="A688" s="1"/>
      <c r="B688" s="1"/>
      <c r="C688" s="63"/>
      <c r="D688" s="10"/>
      <c r="E688" s="270"/>
      <c r="F688" s="267"/>
      <c r="G688" s="273"/>
      <c r="H688" s="283"/>
      <c r="I688" s="290"/>
    </row>
    <row r="689" spans="1:9">
      <c r="A689" s="1"/>
      <c r="B689" s="1"/>
      <c r="C689" s="63"/>
      <c r="D689" s="10"/>
      <c r="E689" s="270"/>
      <c r="F689" s="267"/>
      <c r="G689" s="273"/>
      <c r="H689" s="283"/>
      <c r="I689" s="290"/>
    </row>
    <row r="690" spans="1:9">
      <c r="A690" s="1"/>
      <c r="B690" s="1"/>
      <c r="C690" s="63"/>
      <c r="D690" s="10"/>
      <c r="E690" s="270"/>
      <c r="F690" s="267"/>
      <c r="G690" s="273"/>
      <c r="H690" s="283"/>
      <c r="I690" s="290"/>
    </row>
    <row r="691" spans="1:9">
      <c r="A691" s="1"/>
      <c r="B691" s="1"/>
      <c r="C691" s="63"/>
      <c r="D691" s="10"/>
      <c r="E691" s="270"/>
      <c r="F691" s="267"/>
      <c r="G691" s="273"/>
      <c r="H691" s="283"/>
      <c r="I691" s="290"/>
    </row>
    <row r="692" spans="1:9">
      <c r="A692" s="1"/>
      <c r="B692" s="1"/>
      <c r="C692" s="63"/>
      <c r="D692" s="10"/>
      <c r="E692" s="270"/>
      <c r="F692" s="267"/>
      <c r="G692" s="273"/>
      <c r="H692" s="283"/>
      <c r="I692" s="290"/>
    </row>
    <row r="693" spans="1:9">
      <c r="A693" s="1"/>
      <c r="B693" s="1"/>
      <c r="C693" s="63"/>
      <c r="D693" s="10"/>
      <c r="E693" s="270"/>
      <c r="F693" s="267"/>
      <c r="G693" s="273"/>
      <c r="H693" s="283"/>
      <c r="I693" s="290"/>
    </row>
    <row r="694" spans="1:9">
      <c r="A694" s="1"/>
      <c r="B694" s="1"/>
      <c r="C694" s="63"/>
      <c r="D694" s="10"/>
      <c r="E694" s="270"/>
      <c r="F694" s="267"/>
      <c r="G694" s="273"/>
      <c r="H694" s="283"/>
      <c r="I694" s="290"/>
    </row>
    <row r="695" spans="1:9">
      <c r="A695" s="1"/>
      <c r="B695" s="1"/>
      <c r="C695" s="63"/>
      <c r="D695" s="10"/>
      <c r="E695" s="270"/>
      <c r="F695" s="267"/>
      <c r="G695" s="273"/>
      <c r="H695" s="283"/>
      <c r="I695" s="290"/>
    </row>
    <row r="696" spans="1:9">
      <c r="A696" s="1"/>
      <c r="B696" s="1"/>
      <c r="C696" s="63"/>
      <c r="D696" s="10"/>
      <c r="E696" s="270"/>
      <c r="F696" s="267"/>
      <c r="G696" s="273"/>
      <c r="H696" s="283"/>
      <c r="I696" s="290"/>
    </row>
    <row r="697" spans="1:9">
      <c r="A697" s="1"/>
      <c r="B697" s="1"/>
      <c r="C697" s="63"/>
      <c r="D697" s="10"/>
      <c r="E697" s="270"/>
      <c r="F697" s="267"/>
      <c r="G697" s="273"/>
      <c r="H697" s="283"/>
      <c r="I697" s="290"/>
    </row>
    <row r="698" spans="1:9">
      <c r="A698" s="1"/>
      <c r="B698" s="1"/>
      <c r="C698" s="63"/>
      <c r="D698" s="10"/>
      <c r="E698" s="270"/>
      <c r="F698" s="267"/>
      <c r="G698" s="273"/>
      <c r="H698" s="283"/>
      <c r="I698" s="290"/>
    </row>
    <row r="699" spans="1:9">
      <c r="A699" s="1"/>
      <c r="B699" s="1"/>
      <c r="C699" s="63"/>
      <c r="D699" s="10"/>
      <c r="E699" s="270"/>
      <c r="F699" s="267"/>
      <c r="G699" s="273"/>
      <c r="H699" s="283"/>
      <c r="I699" s="290"/>
    </row>
    <row r="700" spans="1:9">
      <c r="A700" s="1"/>
      <c r="B700" s="1"/>
      <c r="C700" s="63"/>
      <c r="D700" s="10"/>
      <c r="E700" s="270"/>
      <c r="F700" s="267"/>
      <c r="G700" s="273"/>
      <c r="H700" s="283"/>
      <c r="I700" s="290"/>
    </row>
    <row r="701" spans="1:9">
      <c r="A701" s="1"/>
      <c r="B701" s="1"/>
      <c r="C701" s="63"/>
      <c r="D701" s="10"/>
      <c r="E701" s="270"/>
      <c r="F701" s="267"/>
      <c r="G701" s="273"/>
      <c r="H701" s="283"/>
      <c r="I701" s="290"/>
    </row>
    <row r="702" spans="1:9">
      <c r="A702" s="1"/>
      <c r="B702" s="1"/>
      <c r="C702" s="63"/>
      <c r="D702" s="10"/>
      <c r="E702" s="270"/>
      <c r="F702" s="267"/>
      <c r="G702" s="273"/>
      <c r="H702" s="283"/>
      <c r="I702" s="290"/>
    </row>
    <row r="703" spans="1:9">
      <c r="A703" s="1"/>
      <c r="B703" s="1"/>
      <c r="C703" s="63"/>
      <c r="D703" s="10"/>
      <c r="E703" s="270"/>
      <c r="F703" s="267"/>
      <c r="G703" s="273"/>
      <c r="H703" s="283"/>
      <c r="I703" s="290"/>
    </row>
    <row r="704" spans="1:9">
      <c r="A704" s="1"/>
      <c r="B704" s="1"/>
      <c r="C704" s="63"/>
      <c r="D704" s="10"/>
      <c r="E704" s="270"/>
      <c r="F704" s="267"/>
      <c r="G704" s="273"/>
      <c r="H704" s="283"/>
      <c r="I704" s="290"/>
    </row>
    <row r="705" spans="1:9">
      <c r="A705" s="1"/>
      <c r="B705" s="1"/>
      <c r="C705" s="63"/>
      <c r="D705" s="10"/>
      <c r="E705" s="270"/>
      <c r="F705" s="267"/>
      <c r="G705" s="273"/>
      <c r="H705" s="283"/>
      <c r="I705" s="290"/>
    </row>
    <row r="706" spans="1:9">
      <c r="A706" s="1"/>
      <c r="B706" s="1"/>
      <c r="C706" s="63"/>
      <c r="D706" s="10"/>
      <c r="E706" s="270"/>
      <c r="F706" s="267"/>
      <c r="G706" s="273"/>
      <c r="H706" s="283"/>
      <c r="I706" s="290"/>
    </row>
    <row r="707" spans="1:9">
      <c r="A707" s="1"/>
      <c r="B707" s="1"/>
      <c r="C707" s="63"/>
      <c r="D707" s="10"/>
      <c r="E707" s="270"/>
      <c r="F707" s="267"/>
      <c r="G707" s="273"/>
      <c r="H707" s="283"/>
      <c r="I707" s="290"/>
    </row>
    <row r="708" spans="1:9">
      <c r="A708" s="1"/>
      <c r="B708" s="1"/>
      <c r="C708" s="63"/>
      <c r="D708" s="10"/>
      <c r="E708" s="270"/>
      <c r="F708" s="267"/>
      <c r="G708" s="273"/>
      <c r="H708" s="283"/>
      <c r="I708" s="290"/>
    </row>
    <row r="709" spans="1:9">
      <c r="A709" s="1"/>
      <c r="B709" s="1"/>
      <c r="C709" s="63"/>
      <c r="D709" s="10"/>
      <c r="E709" s="270"/>
      <c r="F709" s="267"/>
      <c r="G709" s="273"/>
      <c r="H709" s="283"/>
      <c r="I709" s="290"/>
    </row>
    <row r="710" spans="1:9">
      <c r="A710" s="1"/>
      <c r="B710" s="1"/>
      <c r="C710" s="63"/>
      <c r="D710" s="10"/>
      <c r="E710" s="270"/>
      <c r="F710" s="267"/>
      <c r="G710" s="273"/>
      <c r="H710" s="283"/>
      <c r="I710" s="290"/>
    </row>
    <row r="711" spans="1:9">
      <c r="A711" s="1"/>
      <c r="B711" s="1"/>
      <c r="C711" s="63"/>
      <c r="D711" s="10"/>
      <c r="E711" s="270"/>
      <c r="F711" s="267"/>
      <c r="G711" s="273"/>
      <c r="H711" s="283"/>
      <c r="I711" s="290"/>
    </row>
    <row r="712" spans="1:9">
      <c r="A712" s="1"/>
      <c r="B712" s="1"/>
      <c r="C712" s="63"/>
      <c r="D712" s="10"/>
      <c r="E712" s="270"/>
      <c r="F712" s="267"/>
      <c r="G712" s="273"/>
      <c r="H712" s="283"/>
      <c r="I712" s="290"/>
    </row>
    <row r="713" spans="1:9">
      <c r="A713" s="1"/>
      <c r="B713" s="1"/>
      <c r="C713" s="63"/>
      <c r="D713" s="10"/>
      <c r="E713" s="270"/>
      <c r="F713" s="267"/>
      <c r="G713" s="273"/>
      <c r="H713" s="283"/>
      <c r="I713" s="290"/>
    </row>
    <row r="714" spans="1:9">
      <c r="A714" s="1"/>
      <c r="B714" s="1"/>
      <c r="C714" s="63"/>
      <c r="D714" s="10"/>
      <c r="E714" s="270"/>
      <c r="F714" s="267"/>
      <c r="G714" s="273"/>
      <c r="H714" s="283"/>
      <c r="I714" s="290"/>
    </row>
    <row r="715" spans="1:9">
      <c r="A715" s="1"/>
      <c r="B715" s="1"/>
      <c r="C715" s="63"/>
      <c r="D715" s="10"/>
      <c r="E715" s="270"/>
      <c r="F715" s="267"/>
      <c r="G715" s="273"/>
      <c r="H715" s="283"/>
      <c r="I715" s="290"/>
    </row>
    <row r="716" spans="1:9">
      <c r="A716" s="1"/>
      <c r="B716" s="1"/>
      <c r="C716" s="63"/>
      <c r="D716" s="10"/>
      <c r="E716" s="270"/>
      <c r="F716" s="267"/>
      <c r="G716" s="273"/>
      <c r="H716" s="283"/>
      <c r="I716" s="290"/>
    </row>
    <row r="717" spans="1:9">
      <c r="A717" s="1"/>
      <c r="B717" s="1"/>
      <c r="C717" s="63"/>
      <c r="D717" s="10"/>
      <c r="E717" s="270"/>
      <c r="F717" s="267"/>
      <c r="G717" s="273"/>
      <c r="H717" s="283"/>
      <c r="I717" s="290"/>
    </row>
    <row r="718" spans="1:9">
      <c r="A718" s="1"/>
      <c r="B718" s="1"/>
      <c r="C718" s="63"/>
      <c r="D718" s="10"/>
      <c r="E718" s="270"/>
      <c r="F718" s="267"/>
      <c r="G718" s="273"/>
      <c r="H718" s="283"/>
      <c r="I718" s="290"/>
    </row>
    <row r="719" spans="1:9">
      <c r="A719" s="1"/>
      <c r="B719" s="1"/>
      <c r="C719" s="63"/>
      <c r="D719" s="10"/>
      <c r="E719" s="270"/>
      <c r="F719" s="267"/>
      <c r="G719" s="273"/>
      <c r="H719" s="283"/>
      <c r="I719" s="290"/>
    </row>
    <row r="720" spans="1:9">
      <c r="A720" s="1"/>
      <c r="B720" s="1"/>
      <c r="C720" s="63"/>
      <c r="D720" s="10"/>
      <c r="E720" s="270"/>
      <c r="F720" s="267"/>
      <c r="G720" s="273"/>
      <c r="H720" s="283"/>
      <c r="I720" s="290"/>
    </row>
    <row r="721" spans="1:9">
      <c r="A721" s="1"/>
      <c r="B721" s="1"/>
      <c r="C721" s="63"/>
      <c r="D721" s="10"/>
      <c r="E721" s="270"/>
      <c r="F721" s="267"/>
      <c r="G721" s="273"/>
      <c r="H721" s="283"/>
      <c r="I721" s="290"/>
    </row>
    <row r="722" spans="1:9">
      <c r="A722" s="1"/>
      <c r="B722" s="1"/>
      <c r="C722" s="63"/>
      <c r="D722" s="10"/>
      <c r="E722" s="270"/>
      <c r="F722" s="267"/>
      <c r="G722" s="273"/>
      <c r="H722" s="283"/>
      <c r="I722" s="290"/>
    </row>
    <row r="723" spans="1:9">
      <c r="A723" s="1"/>
      <c r="B723" s="1"/>
      <c r="C723" s="63"/>
      <c r="D723" s="10"/>
      <c r="E723" s="270"/>
      <c r="F723" s="267"/>
      <c r="G723" s="273"/>
      <c r="H723" s="283"/>
      <c r="I723" s="290"/>
    </row>
    <row r="724" spans="1:9">
      <c r="A724" s="1"/>
      <c r="B724" s="1"/>
      <c r="C724" s="63"/>
      <c r="D724" s="10"/>
      <c r="E724" s="270"/>
      <c r="F724" s="267"/>
      <c r="G724" s="273"/>
      <c r="H724" s="283"/>
      <c r="I724" s="290"/>
    </row>
    <row r="725" spans="1:9">
      <c r="A725" s="1"/>
      <c r="B725" s="1"/>
      <c r="C725" s="63"/>
      <c r="D725" s="10"/>
      <c r="E725" s="270"/>
      <c r="F725" s="267"/>
      <c r="G725" s="273"/>
      <c r="H725" s="283"/>
      <c r="I725" s="290"/>
    </row>
    <row r="726" spans="1:9">
      <c r="A726" s="1"/>
      <c r="B726" s="1"/>
      <c r="C726" s="63"/>
      <c r="D726" s="10"/>
      <c r="E726" s="270"/>
      <c r="F726" s="267"/>
      <c r="G726" s="273"/>
      <c r="H726" s="283"/>
      <c r="I726" s="290"/>
    </row>
    <row r="727" spans="1:9">
      <c r="A727" s="1"/>
      <c r="B727" s="1"/>
      <c r="C727" s="63"/>
      <c r="D727" s="10"/>
      <c r="E727" s="270"/>
      <c r="F727" s="267"/>
      <c r="G727" s="273"/>
      <c r="H727" s="283"/>
      <c r="I727" s="290"/>
    </row>
    <row r="728" spans="1:9">
      <c r="A728" s="1"/>
      <c r="B728" s="1"/>
      <c r="C728" s="63"/>
      <c r="D728" s="10"/>
      <c r="E728" s="270"/>
      <c r="F728" s="267"/>
      <c r="G728" s="273"/>
      <c r="H728" s="283"/>
      <c r="I728" s="290"/>
    </row>
    <row r="729" spans="1:9">
      <c r="A729" s="1"/>
      <c r="B729" s="1"/>
      <c r="C729" s="63"/>
      <c r="D729" s="10"/>
      <c r="E729" s="270"/>
      <c r="F729" s="267"/>
      <c r="G729" s="273"/>
      <c r="H729" s="283"/>
      <c r="I729" s="290"/>
    </row>
    <row r="730" spans="1:9">
      <c r="A730" s="1"/>
      <c r="B730" s="1"/>
      <c r="C730" s="63"/>
      <c r="D730" s="10"/>
      <c r="E730" s="270"/>
      <c r="F730" s="267"/>
      <c r="G730" s="273"/>
      <c r="H730" s="283"/>
      <c r="I730" s="290"/>
    </row>
    <row r="731" spans="1:9">
      <c r="A731" s="1"/>
      <c r="B731" s="1"/>
      <c r="C731" s="63"/>
      <c r="D731" s="10"/>
      <c r="E731" s="270"/>
      <c r="F731" s="267"/>
      <c r="G731" s="273"/>
      <c r="H731" s="283"/>
      <c r="I731" s="290"/>
    </row>
    <row r="732" spans="1:9">
      <c r="A732" s="1"/>
      <c r="B732" s="1"/>
      <c r="C732" s="63"/>
      <c r="D732" s="10"/>
      <c r="E732" s="270"/>
      <c r="F732" s="267"/>
      <c r="G732" s="273"/>
      <c r="H732" s="283"/>
      <c r="I732" s="290"/>
    </row>
    <row r="733" spans="1:9">
      <c r="A733" s="1"/>
      <c r="B733" s="1"/>
      <c r="C733" s="63"/>
      <c r="D733" s="10"/>
      <c r="E733" s="270"/>
      <c r="F733" s="267"/>
      <c r="G733" s="273"/>
      <c r="H733" s="283"/>
      <c r="I733" s="290"/>
    </row>
    <row r="734" spans="1:9">
      <c r="A734" s="1"/>
      <c r="B734" s="1"/>
      <c r="C734" s="63"/>
      <c r="D734" s="10"/>
      <c r="E734" s="270"/>
      <c r="F734" s="267"/>
      <c r="G734" s="273"/>
      <c r="H734" s="283"/>
      <c r="I734" s="290"/>
    </row>
    <row r="735" spans="1:9">
      <c r="A735" s="1"/>
      <c r="B735" s="1"/>
      <c r="C735" s="63"/>
      <c r="D735" s="10"/>
      <c r="E735" s="270"/>
      <c r="F735" s="267"/>
      <c r="G735" s="273"/>
      <c r="H735" s="283"/>
      <c r="I735" s="290"/>
    </row>
    <row r="736" spans="1:9">
      <c r="A736" s="1"/>
      <c r="B736" s="1"/>
      <c r="C736" s="63"/>
      <c r="D736" s="10"/>
      <c r="E736" s="270"/>
      <c r="F736" s="267"/>
      <c r="G736" s="273"/>
      <c r="H736" s="283"/>
      <c r="I736" s="290"/>
    </row>
    <row r="737" spans="1:9">
      <c r="A737" s="1"/>
      <c r="B737" s="1"/>
      <c r="C737" s="63"/>
      <c r="D737" s="10"/>
      <c r="E737" s="270"/>
      <c r="F737" s="267"/>
      <c r="G737" s="273"/>
      <c r="H737" s="283"/>
      <c r="I737" s="290"/>
    </row>
    <row r="738" spans="1:9">
      <c r="A738" s="1"/>
      <c r="B738" s="1"/>
      <c r="C738" s="63"/>
      <c r="D738" s="10"/>
      <c r="E738" s="270"/>
      <c r="F738" s="267"/>
      <c r="G738" s="273"/>
      <c r="H738" s="283"/>
      <c r="I738" s="290"/>
    </row>
    <row r="739" spans="1:9">
      <c r="A739" s="1"/>
      <c r="B739" s="1"/>
      <c r="C739" s="63"/>
      <c r="D739" s="10"/>
      <c r="E739" s="270"/>
      <c r="F739" s="267"/>
      <c r="G739" s="273"/>
      <c r="H739" s="283"/>
      <c r="I739" s="290"/>
    </row>
    <row r="740" spans="1:9">
      <c r="A740" s="1"/>
      <c r="B740" s="1"/>
      <c r="C740" s="63"/>
      <c r="D740" s="10"/>
      <c r="E740" s="270"/>
      <c r="F740" s="267"/>
      <c r="G740" s="273"/>
      <c r="H740" s="283"/>
      <c r="I740" s="290"/>
    </row>
    <row r="741" spans="1:9">
      <c r="A741" s="1"/>
      <c r="B741" s="1"/>
      <c r="C741" s="63"/>
      <c r="D741" s="10"/>
      <c r="E741" s="270"/>
      <c r="F741" s="267"/>
      <c r="G741" s="273"/>
      <c r="H741" s="283"/>
      <c r="I741" s="290"/>
    </row>
    <row r="742" spans="1:9">
      <c r="A742" s="1"/>
      <c r="B742" s="1"/>
      <c r="C742" s="63"/>
      <c r="D742" s="10"/>
      <c r="E742" s="270"/>
      <c r="F742" s="267"/>
      <c r="G742" s="273"/>
      <c r="H742" s="283"/>
      <c r="I742" s="290"/>
    </row>
    <row r="743" spans="1:9">
      <c r="A743" s="1"/>
      <c r="B743" s="1"/>
      <c r="C743" s="63"/>
      <c r="D743" s="10"/>
      <c r="E743" s="270"/>
      <c r="F743" s="267"/>
      <c r="G743" s="273"/>
      <c r="H743" s="283"/>
      <c r="I743" s="290"/>
    </row>
    <row r="744" spans="1:9">
      <c r="A744" s="1"/>
      <c r="B744" s="1"/>
      <c r="C744" s="63"/>
      <c r="D744" s="10"/>
      <c r="E744" s="270"/>
      <c r="F744" s="267"/>
      <c r="G744" s="273"/>
      <c r="H744" s="283"/>
      <c r="I744" s="290"/>
    </row>
    <row r="745" spans="1:9">
      <c r="A745" s="1"/>
      <c r="B745" s="1"/>
      <c r="C745" s="63"/>
      <c r="D745" s="10"/>
      <c r="E745" s="270"/>
      <c r="F745" s="267"/>
      <c r="G745" s="273"/>
      <c r="H745" s="283"/>
      <c r="I745" s="290"/>
    </row>
    <row r="746" spans="1:9">
      <c r="A746" s="1"/>
      <c r="B746" s="1"/>
      <c r="C746" s="63"/>
      <c r="D746" s="10"/>
      <c r="E746" s="270"/>
      <c r="F746" s="267"/>
      <c r="G746" s="273"/>
      <c r="H746" s="283"/>
      <c r="I746" s="290"/>
    </row>
    <row r="747" spans="1:9">
      <c r="A747" s="1"/>
      <c r="B747" s="1"/>
      <c r="C747" s="63"/>
      <c r="D747" s="10"/>
      <c r="E747" s="270"/>
      <c r="F747" s="267"/>
      <c r="G747" s="273"/>
      <c r="H747" s="283"/>
      <c r="I747" s="290"/>
    </row>
    <row r="748" spans="1:9">
      <c r="A748" s="1"/>
      <c r="B748" s="1"/>
      <c r="C748" s="63"/>
      <c r="D748" s="10"/>
      <c r="E748" s="270"/>
      <c r="F748" s="267"/>
      <c r="G748" s="273"/>
      <c r="H748" s="283"/>
      <c r="I748" s="290"/>
    </row>
    <row r="749" spans="1:9">
      <c r="A749" s="1"/>
      <c r="B749" s="1"/>
      <c r="C749" s="63"/>
      <c r="D749" s="10"/>
      <c r="E749" s="270"/>
      <c r="F749" s="267"/>
      <c r="G749" s="273"/>
      <c r="H749" s="283"/>
      <c r="I749" s="290"/>
    </row>
    <row r="750" spans="1:9">
      <c r="A750" s="1"/>
      <c r="B750" s="1"/>
      <c r="C750" s="63"/>
      <c r="D750" s="10"/>
      <c r="E750" s="270"/>
      <c r="F750" s="267"/>
      <c r="G750" s="273"/>
      <c r="H750" s="283"/>
      <c r="I750" s="290"/>
    </row>
    <row r="751" spans="1:9">
      <c r="A751" s="1"/>
      <c r="B751" s="1"/>
      <c r="C751" s="63"/>
      <c r="D751" s="10"/>
      <c r="E751" s="270"/>
      <c r="F751" s="267"/>
      <c r="G751" s="273"/>
      <c r="H751" s="283"/>
      <c r="I751" s="290"/>
    </row>
    <row r="752" spans="1:9">
      <c r="A752" s="1"/>
      <c r="B752" s="1"/>
      <c r="C752" s="63"/>
      <c r="D752" s="10"/>
      <c r="E752" s="270"/>
      <c r="F752" s="267"/>
      <c r="G752" s="273"/>
      <c r="H752" s="283"/>
      <c r="I752" s="290"/>
    </row>
    <row r="753" spans="1:9">
      <c r="A753" s="1"/>
      <c r="B753" s="1"/>
      <c r="C753" s="63"/>
      <c r="D753" s="10"/>
      <c r="E753" s="270"/>
      <c r="F753" s="267"/>
      <c r="G753" s="273"/>
      <c r="H753" s="283"/>
      <c r="I753" s="290"/>
    </row>
    <row r="754" spans="1:9">
      <c r="A754" s="1"/>
      <c r="B754" s="1"/>
      <c r="C754" s="63"/>
      <c r="D754" s="10"/>
      <c r="E754" s="270"/>
      <c r="F754" s="267"/>
      <c r="G754" s="273"/>
      <c r="H754" s="283"/>
      <c r="I754" s="290"/>
    </row>
    <row r="755" spans="1:9">
      <c r="A755" s="1"/>
      <c r="B755" s="1"/>
      <c r="C755" s="63"/>
      <c r="D755" s="10"/>
      <c r="E755" s="270"/>
      <c r="F755" s="267"/>
      <c r="G755" s="273"/>
      <c r="H755" s="283"/>
      <c r="I755" s="290"/>
    </row>
    <row r="756" spans="1:9">
      <c r="A756" s="1"/>
      <c r="B756" s="1"/>
      <c r="C756" s="63"/>
      <c r="D756" s="10"/>
      <c r="E756" s="270"/>
      <c r="F756" s="267"/>
      <c r="G756" s="273"/>
      <c r="H756" s="283"/>
      <c r="I756" s="290"/>
    </row>
    <row r="757" spans="1:9">
      <c r="A757" s="1"/>
      <c r="B757" s="1"/>
      <c r="C757" s="63"/>
      <c r="D757" s="10"/>
      <c r="E757" s="270"/>
      <c r="F757" s="267"/>
      <c r="G757" s="273"/>
      <c r="H757" s="283"/>
      <c r="I757" s="290"/>
    </row>
    <row r="758" spans="1:9">
      <c r="A758" s="1"/>
      <c r="B758" s="1"/>
      <c r="C758" s="63"/>
      <c r="D758" s="10"/>
      <c r="E758" s="270"/>
      <c r="F758" s="267"/>
      <c r="G758" s="273"/>
      <c r="H758" s="283"/>
      <c r="I758" s="290"/>
    </row>
    <row r="759" spans="1:9">
      <c r="A759" s="1"/>
      <c r="B759" s="1"/>
      <c r="C759" s="63"/>
      <c r="D759" s="10"/>
      <c r="E759" s="270"/>
      <c r="F759" s="267"/>
      <c r="G759" s="273"/>
      <c r="H759" s="283"/>
      <c r="I759" s="290"/>
    </row>
    <row r="760" spans="1:9">
      <c r="A760" s="1"/>
      <c r="B760" s="1"/>
      <c r="C760" s="63"/>
      <c r="D760" s="10"/>
      <c r="E760" s="270"/>
      <c r="F760" s="267"/>
      <c r="G760" s="273"/>
      <c r="H760" s="283"/>
      <c r="I760" s="290"/>
    </row>
    <row r="761" spans="1:9">
      <c r="A761" s="1"/>
      <c r="B761" s="1"/>
      <c r="C761" s="63"/>
      <c r="D761" s="10"/>
      <c r="E761" s="270"/>
      <c r="F761" s="267"/>
      <c r="G761" s="273"/>
      <c r="H761" s="283"/>
      <c r="I761" s="290"/>
    </row>
    <row r="762" spans="1:9">
      <c r="A762" s="1"/>
      <c r="B762" s="1"/>
      <c r="C762" s="63"/>
      <c r="D762" s="10"/>
      <c r="E762" s="270"/>
      <c r="F762" s="267"/>
      <c r="G762" s="273"/>
      <c r="H762" s="283"/>
      <c r="I762" s="290"/>
    </row>
    <row r="763" spans="1:9">
      <c r="A763" s="1"/>
      <c r="B763" s="1"/>
      <c r="C763" s="63"/>
      <c r="D763" s="10"/>
      <c r="E763" s="270"/>
      <c r="F763" s="267"/>
      <c r="G763" s="273"/>
      <c r="H763" s="283"/>
      <c r="I763" s="290"/>
    </row>
    <row r="764" spans="1:9">
      <c r="A764" s="1"/>
      <c r="B764" s="1"/>
      <c r="C764" s="63"/>
      <c r="D764" s="10"/>
      <c r="E764" s="270"/>
      <c r="F764" s="267"/>
      <c r="G764" s="273"/>
      <c r="H764" s="283"/>
      <c r="I764" s="290"/>
    </row>
    <row r="765" spans="1:9">
      <c r="A765" s="1"/>
      <c r="B765" s="1"/>
      <c r="C765" s="63"/>
      <c r="D765" s="10"/>
      <c r="E765" s="270"/>
      <c r="F765" s="267"/>
      <c r="G765" s="273"/>
      <c r="H765" s="283"/>
      <c r="I765" s="290"/>
    </row>
    <row r="766" spans="1:9">
      <c r="A766" s="1"/>
      <c r="B766" s="1"/>
      <c r="C766" s="63"/>
      <c r="D766" s="10"/>
      <c r="E766" s="270"/>
      <c r="F766" s="267"/>
      <c r="G766" s="273"/>
      <c r="H766" s="283"/>
      <c r="I766" s="290"/>
    </row>
    <row r="767" spans="1:9">
      <c r="A767" s="1"/>
      <c r="B767" s="1"/>
      <c r="C767" s="63"/>
      <c r="D767" s="10"/>
      <c r="E767" s="270"/>
      <c r="F767" s="267"/>
      <c r="G767" s="273"/>
      <c r="H767" s="283"/>
      <c r="I767" s="290"/>
    </row>
    <row r="768" spans="1:9">
      <c r="A768" s="1"/>
      <c r="B768" s="1"/>
      <c r="C768" s="63"/>
      <c r="D768" s="10"/>
      <c r="E768" s="270"/>
      <c r="F768" s="267"/>
      <c r="G768" s="273"/>
      <c r="H768" s="283"/>
      <c r="I768" s="290"/>
    </row>
    <row r="769" spans="1:9">
      <c r="A769" s="1"/>
      <c r="B769" s="1"/>
      <c r="C769" s="63"/>
      <c r="D769" s="10"/>
      <c r="E769" s="270"/>
      <c r="F769" s="267"/>
      <c r="G769" s="273"/>
      <c r="H769" s="283"/>
      <c r="I769" s="290"/>
    </row>
    <row r="770" spans="1:9">
      <c r="A770" s="1"/>
      <c r="B770" s="1"/>
      <c r="C770" s="63"/>
      <c r="D770" s="10"/>
      <c r="E770" s="270"/>
      <c r="F770" s="267"/>
      <c r="G770" s="273"/>
      <c r="H770" s="283"/>
      <c r="I770" s="290"/>
    </row>
    <row r="771" spans="1:9">
      <c r="A771" s="1"/>
      <c r="B771" s="1"/>
      <c r="C771" s="63"/>
      <c r="D771" s="10"/>
      <c r="E771" s="270"/>
      <c r="F771" s="267"/>
      <c r="G771" s="273"/>
      <c r="H771" s="283"/>
      <c r="I771" s="290"/>
    </row>
    <row r="772" spans="1:9">
      <c r="A772" s="1"/>
      <c r="B772" s="1"/>
      <c r="C772" s="63"/>
      <c r="D772" s="10"/>
      <c r="E772" s="270"/>
      <c r="F772" s="267"/>
      <c r="G772" s="273"/>
      <c r="H772" s="283"/>
      <c r="I772" s="290"/>
    </row>
    <row r="773" spans="1:9">
      <c r="A773" s="1"/>
      <c r="B773" s="1"/>
      <c r="C773" s="63"/>
      <c r="D773" s="10"/>
      <c r="E773" s="270"/>
      <c r="F773" s="267"/>
      <c r="G773" s="273"/>
      <c r="H773" s="283"/>
      <c r="I773" s="290"/>
    </row>
    <row r="774" spans="1:9">
      <c r="A774" s="1"/>
      <c r="B774" s="1"/>
      <c r="C774" s="63"/>
      <c r="D774" s="10"/>
      <c r="E774" s="270"/>
      <c r="F774" s="267"/>
      <c r="G774" s="273"/>
      <c r="H774" s="283"/>
      <c r="I774" s="290"/>
    </row>
    <row r="775" spans="1:9">
      <c r="A775" s="1"/>
      <c r="B775" s="1"/>
      <c r="C775" s="63"/>
      <c r="D775" s="10"/>
      <c r="E775" s="270"/>
      <c r="F775" s="267"/>
      <c r="G775" s="273"/>
      <c r="H775" s="283"/>
      <c r="I775" s="290"/>
    </row>
    <row r="776" spans="1:9">
      <c r="A776" s="1"/>
      <c r="B776" s="1"/>
      <c r="C776" s="63"/>
      <c r="D776" s="10"/>
      <c r="E776" s="270"/>
      <c r="F776" s="267"/>
      <c r="G776" s="273"/>
      <c r="H776" s="283"/>
      <c r="I776" s="290"/>
    </row>
    <row r="777" spans="1:9">
      <c r="A777" s="1"/>
      <c r="B777" s="1"/>
      <c r="C777" s="63"/>
      <c r="D777" s="10"/>
      <c r="E777" s="270"/>
      <c r="F777" s="267"/>
      <c r="G777" s="273"/>
      <c r="H777" s="283"/>
      <c r="I777" s="290"/>
    </row>
    <row r="778" spans="1:9">
      <c r="A778" s="1"/>
      <c r="B778" s="1"/>
      <c r="C778" s="63"/>
      <c r="D778" s="10"/>
      <c r="E778" s="270"/>
      <c r="F778" s="267"/>
      <c r="G778" s="273"/>
      <c r="H778" s="283"/>
      <c r="I778" s="290"/>
    </row>
    <row r="779" spans="1:9">
      <c r="A779" s="1"/>
      <c r="B779" s="1"/>
      <c r="C779" s="63"/>
      <c r="D779" s="10"/>
      <c r="E779" s="270"/>
      <c r="F779" s="267"/>
      <c r="G779" s="273"/>
      <c r="H779" s="283"/>
      <c r="I779" s="290"/>
    </row>
    <row r="780" spans="1:9">
      <c r="A780" s="1"/>
      <c r="B780" s="1"/>
      <c r="C780" s="63"/>
      <c r="D780" s="10"/>
      <c r="E780" s="270"/>
      <c r="F780" s="267"/>
      <c r="G780" s="273"/>
      <c r="H780" s="283"/>
      <c r="I780" s="290"/>
    </row>
    <row r="781" spans="1:9">
      <c r="A781" s="1"/>
      <c r="B781" s="1"/>
      <c r="C781" s="63"/>
      <c r="D781" s="10"/>
      <c r="E781" s="270"/>
      <c r="F781" s="267"/>
      <c r="G781" s="273"/>
      <c r="H781" s="283"/>
      <c r="I781" s="290"/>
    </row>
    <row r="782" spans="1:9">
      <c r="A782" s="1"/>
      <c r="B782" s="1"/>
      <c r="C782" s="63"/>
      <c r="D782" s="10"/>
      <c r="E782" s="270"/>
      <c r="F782" s="267"/>
      <c r="G782" s="273"/>
      <c r="H782" s="283"/>
      <c r="I782" s="290"/>
    </row>
    <row r="783" spans="1:9">
      <c r="A783" s="1"/>
      <c r="B783" s="1"/>
      <c r="C783" s="63"/>
      <c r="D783" s="10"/>
      <c r="E783" s="270"/>
      <c r="F783" s="267"/>
      <c r="G783" s="273"/>
      <c r="H783" s="283"/>
      <c r="I783" s="290"/>
    </row>
    <row r="784" spans="1:9">
      <c r="A784" s="1"/>
      <c r="B784" s="1"/>
      <c r="C784" s="63"/>
      <c r="D784" s="10"/>
      <c r="E784" s="270"/>
      <c r="F784" s="267"/>
      <c r="G784" s="273"/>
      <c r="H784" s="283"/>
      <c r="I784" s="290"/>
    </row>
    <row r="785" spans="1:9">
      <c r="A785" s="1"/>
      <c r="B785" s="1"/>
      <c r="C785" s="63"/>
      <c r="D785" s="10"/>
      <c r="E785" s="270"/>
      <c r="F785" s="267"/>
      <c r="G785" s="273"/>
      <c r="H785" s="283"/>
      <c r="I785" s="290"/>
    </row>
    <row r="786" spans="1:9">
      <c r="A786" s="1"/>
      <c r="B786" s="1"/>
      <c r="C786" s="63"/>
      <c r="D786" s="10"/>
      <c r="E786" s="270"/>
      <c r="F786" s="267"/>
      <c r="G786" s="273"/>
      <c r="H786" s="283"/>
      <c r="I786" s="290"/>
    </row>
    <row r="787" spans="1:9">
      <c r="A787" s="1"/>
      <c r="B787" s="1"/>
      <c r="C787" s="63"/>
      <c r="D787" s="10"/>
      <c r="E787" s="270"/>
      <c r="F787" s="267"/>
      <c r="G787" s="273"/>
      <c r="H787" s="283"/>
      <c r="I787" s="290"/>
    </row>
    <row r="788" spans="1:9">
      <c r="A788" s="1"/>
      <c r="B788" s="1"/>
      <c r="C788" s="63"/>
      <c r="D788" s="10"/>
      <c r="E788" s="270"/>
      <c r="F788" s="267"/>
      <c r="G788" s="273"/>
      <c r="H788" s="283"/>
      <c r="I788" s="290"/>
    </row>
    <row r="789" spans="1:9">
      <c r="A789" s="1"/>
      <c r="B789" s="1"/>
      <c r="C789" s="63"/>
      <c r="D789" s="10"/>
      <c r="E789" s="270"/>
      <c r="F789" s="267"/>
      <c r="G789" s="273"/>
      <c r="H789" s="283"/>
      <c r="I789" s="290"/>
    </row>
    <row r="790" spans="1:9">
      <c r="A790" s="1"/>
      <c r="B790" s="1"/>
      <c r="C790" s="63"/>
      <c r="D790" s="10"/>
      <c r="E790" s="270"/>
      <c r="F790" s="267"/>
      <c r="G790" s="273"/>
      <c r="H790" s="283"/>
      <c r="I790" s="290"/>
    </row>
    <row r="791" spans="1:9">
      <c r="A791" s="1"/>
      <c r="B791" s="1"/>
      <c r="C791" s="63"/>
      <c r="D791" s="10"/>
      <c r="E791" s="270"/>
      <c r="F791" s="267"/>
      <c r="G791" s="273"/>
      <c r="H791" s="283"/>
      <c r="I791" s="290"/>
    </row>
    <row r="792" spans="1:9">
      <c r="A792" s="1"/>
      <c r="B792" s="1"/>
      <c r="C792" s="63"/>
      <c r="D792" s="10"/>
      <c r="E792" s="270"/>
      <c r="F792" s="267"/>
      <c r="G792" s="273"/>
      <c r="H792" s="283"/>
      <c r="I792" s="290"/>
    </row>
    <row r="793" spans="1:9">
      <c r="A793" s="1"/>
      <c r="B793" s="1"/>
      <c r="C793" s="63"/>
      <c r="D793" s="10"/>
      <c r="E793" s="270"/>
      <c r="F793" s="267"/>
      <c r="G793" s="273"/>
      <c r="H793" s="283"/>
      <c r="I793" s="290"/>
    </row>
    <row r="794" spans="1:9">
      <c r="A794" s="1"/>
      <c r="B794" s="1"/>
      <c r="C794" s="63"/>
      <c r="D794" s="10"/>
      <c r="E794" s="270"/>
      <c r="F794" s="267"/>
      <c r="G794" s="273"/>
      <c r="H794" s="283"/>
      <c r="I794" s="290"/>
    </row>
    <row r="795" spans="1:9">
      <c r="A795" s="1"/>
      <c r="B795" s="1"/>
      <c r="C795" s="63"/>
      <c r="D795" s="10"/>
      <c r="E795" s="270"/>
      <c r="F795" s="267"/>
      <c r="G795" s="273"/>
      <c r="H795" s="283"/>
      <c r="I795" s="290"/>
    </row>
    <row r="796" spans="1:9">
      <c r="A796" s="1"/>
      <c r="B796" s="1"/>
      <c r="C796" s="63"/>
      <c r="D796" s="10"/>
      <c r="E796" s="270"/>
      <c r="F796" s="267"/>
      <c r="G796" s="273"/>
      <c r="H796" s="283"/>
      <c r="I796" s="290"/>
    </row>
    <row r="797" spans="1:9">
      <c r="A797" s="1"/>
      <c r="B797" s="1"/>
      <c r="C797" s="63"/>
      <c r="D797" s="10"/>
      <c r="E797" s="270"/>
      <c r="F797" s="267"/>
      <c r="G797" s="273"/>
      <c r="H797" s="283"/>
      <c r="I797" s="290"/>
    </row>
    <row r="798" spans="1:9">
      <c r="A798" s="1"/>
      <c r="B798" s="1"/>
      <c r="C798" s="63"/>
      <c r="D798" s="10"/>
      <c r="E798" s="270"/>
      <c r="F798" s="267"/>
      <c r="G798" s="273"/>
      <c r="H798" s="283"/>
      <c r="I798" s="290"/>
    </row>
    <row r="799" spans="1:9">
      <c r="A799" s="1"/>
      <c r="B799" s="1"/>
      <c r="C799" s="63"/>
      <c r="D799" s="10"/>
      <c r="E799" s="270"/>
      <c r="F799" s="267"/>
      <c r="G799" s="273"/>
      <c r="H799" s="283"/>
      <c r="I799" s="290"/>
    </row>
    <row r="800" spans="1:9">
      <c r="A800" s="1"/>
      <c r="B800" s="1"/>
      <c r="C800" s="63"/>
      <c r="D800" s="10"/>
      <c r="E800" s="270"/>
      <c r="F800" s="267"/>
      <c r="G800" s="273"/>
      <c r="H800" s="283"/>
      <c r="I800" s="290"/>
    </row>
    <row r="801" spans="1:9">
      <c r="A801" s="1"/>
      <c r="B801" s="1"/>
      <c r="C801" s="63"/>
      <c r="D801" s="10"/>
      <c r="E801" s="270"/>
      <c r="F801" s="267"/>
      <c r="G801" s="273"/>
      <c r="H801" s="283"/>
      <c r="I801" s="290"/>
    </row>
    <row r="802" spans="1:9">
      <c r="A802" s="1"/>
      <c r="B802" s="1"/>
      <c r="C802" s="63"/>
      <c r="D802" s="10"/>
      <c r="E802" s="270"/>
      <c r="F802" s="267"/>
      <c r="G802" s="273"/>
      <c r="H802" s="283"/>
      <c r="I802" s="290"/>
    </row>
    <row r="803" spans="1:9">
      <c r="A803" s="1"/>
      <c r="B803" s="1"/>
      <c r="C803" s="63"/>
      <c r="D803" s="10"/>
      <c r="E803" s="270"/>
      <c r="F803" s="267"/>
      <c r="G803" s="273"/>
      <c r="H803" s="283"/>
      <c r="I803" s="290"/>
    </row>
    <row r="804" spans="1:9">
      <c r="A804" s="1"/>
      <c r="B804" s="1"/>
      <c r="C804" s="63"/>
      <c r="D804" s="10"/>
      <c r="E804" s="270"/>
      <c r="F804" s="267"/>
      <c r="G804" s="273"/>
      <c r="H804" s="283"/>
      <c r="I804" s="290"/>
    </row>
    <row r="805" spans="1:9">
      <c r="A805" s="1"/>
      <c r="B805" s="1"/>
      <c r="C805" s="63"/>
      <c r="D805" s="10"/>
      <c r="E805" s="270"/>
      <c r="F805" s="267"/>
      <c r="G805" s="273"/>
      <c r="H805" s="283"/>
      <c r="I805" s="290"/>
    </row>
    <row r="806" spans="1:9">
      <c r="A806" s="1"/>
      <c r="B806" s="1"/>
      <c r="C806" s="63"/>
      <c r="D806" s="10"/>
      <c r="E806" s="270"/>
      <c r="F806" s="267"/>
      <c r="G806" s="273"/>
      <c r="H806" s="283"/>
      <c r="I806" s="290"/>
    </row>
    <row r="807" spans="1:9">
      <c r="A807" s="1"/>
      <c r="B807" s="1"/>
      <c r="C807" s="63"/>
      <c r="D807" s="10"/>
      <c r="E807" s="270"/>
      <c r="F807" s="267"/>
      <c r="G807" s="273"/>
      <c r="H807" s="283"/>
      <c r="I807" s="290"/>
    </row>
    <row r="808" spans="1:9">
      <c r="A808" s="1"/>
      <c r="B808" s="1"/>
      <c r="C808" s="63"/>
      <c r="D808" s="10"/>
      <c r="E808" s="270"/>
      <c r="F808" s="267"/>
      <c r="G808" s="273"/>
      <c r="H808" s="283"/>
      <c r="I808" s="290"/>
    </row>
    <row r="809" spans="1:9">
      <c r="A809" s="1"/>
      <c r="B809" s="1"/>
      <c r="C809" s="63"/>
      <c r="D809" s="10"/>
      <c r="E809" s="270"/>
      <c r="F809" s="267"/>
      <c r="G809" s="273"/>
      <c r="H809" s="283"/>
      <c r="I809" s="290"/>
    </row>
    <row r="810" spans="1:9">
      <c r="A810" s="1"/>
      <c r="B810" s="1"/>
      <c r="C810" s="63"/>
      <c r="D810" s="10"/>
      <c r="E810" s="270"/>
      <c r="F810" s="267"/>
      <c r="G810" s="273"/>
      <c r="H810" s="283"/>
      <c r="I810" s="290"/>
    </row>
    <row r="811" spans="1:9">
      <c r="A811" s="1"/>
      <c r="B811" s="1"/>
      <c r="C811" s="63"/>
      <c r="D811" s="10"/>
      <c r="E811" s="270"/>
      <c r="F811" s="267"/>
      <c r="G811" s="273"/>
      <c r="H811" s="283"/>
      <c r="I811" s="290"/>
    </row>
    <row r="812" spans="1:9">
      <c r="A812" s="1"/>
      <c r="B812" s="1"/>
      <c r="C812" s="63"/>
      <c r="D812" s="10"/>
      <c r="E812" s="270"/>
      <c r="F812" s="267"/>
      <c r="G812" s="273"/>
      <c r="H812" s="283"/>
      <c r="I812" s="290"/>
    </row>
    <row r="813" spans="1:9">
      <c r="A813" s="1"/>
      <c r="B813" s="1"/>
      <c r="C813" s="63"/>
      <c r="D813" s="10"/>
      <c r="E813" s="270"/>
      <c r="F813" s="267"/>
      <c r="G813" s="273"/>
      <c r="H813" s="283"/>
      <c r="I813" s="290"/>
    </row>
    <row r="814" spans="1:9">
      <c r="A814" s="1"/>
      <c r="B814" s="1"/>
      <c r="C814" s="63"/>
      <c r="D814" s="10"/>
      <c r="E814" s="270"/>
      <c r="F814" s="267"/>
      <c r="G814" s="273"/>
      <c r="H814" s="283"/>
      <c r="I814" s="290"/>
    </row>
    <row r="815" spans="1:9">
      <c r="A815" s="1"/>
      <c r="B815" s="1"/>
      <c r="C815" s="63"/>
      <c r="D815" s="10"/>
      <c r="E815" s="270"/>
      <c r="F815" s="267"/>
      <c r="G815" s="273"/>
      <c r="H815" s="283"/>
      <c r="I815" s="290"/>
    </row>
    <row r="816" spans="1:9">
      <c r="A816" s="1"/>
      <c r="B816" s="1"/>
      <c r="C816" s="63"/>
      <c r="D816" s="10"/>
      <c r="E816" s="270"/>
      <c r="F816" s="267"/>
      <c r="G816" s="273"/>
      <c r="H816" s="283"/>
      <c r="I816" s="290"/>
    </row>
    <row r="817" spans="1:9">
      <c r="A817" s="1"/>
      <c r="B817" s="1"/>
      <c r="C817" s="63"/>
      <c r="D817" s="10"/>
      <c r="E817" s="270"/>
      <c r="F817" s="267"/>
      <c r="G817" s="273"/>
      <c r="H817" s="283"/>
      <c r="I817" s="290"/>
    </row>
    <row r="818" spans="1:9">
      <c r="A818" s="1"/>
      <c r="B818" s="1"/>
      <c r="C818" s="63"/>
      <c r="D818" s="10"/>
      <c r="E818" s="270"/>
      <c r="F818" s="267"/>
      <c r="G818" s="273"/>
      <c r="H818" s="283"/>
      <c r="I818" s="290"/>
    </row>
    <row r="819" spans="1:9">
      <c r="A819" s="1"/>
      <c r="B819" s="1"/>
      <c r="C819" s="63"/>
      <c r="D819" s="10"/>
      <c r="E819" s="270"/>
      <c r="F819" s="267"/>
      <c r="G819" s="273"/>
      <c r="H819" s="283"/>
      <c r="I819" s="290"/>
    </row>
    <row r="820" spans="1:9">
      <c r="A820" s="1"/>
      <c r="B820" s="1"/>
      <c r="C820" s="63"/>
      <c r="D820" s="10"/>
      <c r="E820" s="270"/>
      <c r="F820" s="267"/>
      <c r="G820" s="273"/>
      <c r="H820" s="283"/>
      <c r="I820" s="290"/>
    </row>
    <row r="821" spans="1:9">
      <c r="A821" s="1"/>
      <c r="B821" s="1"/>
      <c r="C821" s="63"/>
      <c r="D821" s="10"/>
      <c r="E821" s="270"/>
      <c r="F821" s="267"/>
      <c r="G821" s="273"/>
      <c r="H821" s="283"/>
      <c r="I821" s="290"/>
    </row>
    <row r="822" spans="1:9">
      <c r="A822" s="1"/>
      <c r="B822" s="1"/>
      <c r="C822" s="63"/>
      <c r="D822" s="10"/>
      <c r="E822" s="270"/>
      <c r="F822" s="267"/>
      <c r="G822" s="273"/>
      <c r="H822" s="283"/>
      <c r="I822" s="290"/>
    </row>
    <row r="823" spans="1:9">
      <c r="A823" s="1"/>
      <c r="B823" s="1"/>
      <c r="C823" s="63"/>
      <c r="D823" s="10"/>
      <c r="E823" s="270"/>
      <c r="F823" s="267"/>
      <c r="G823" s="273"/>
      <c r="H823" s="283"/>
      <c r="I823" s="290"/>
    </row>
    <row r="824" spans="1:9">
      <c r="A824" s="1"/>
      <c r="B824" s="1"/>
      <c r="C824" s="63"/>
      <c r="D824" s="10"/>
      <c r="E824" s="270"/>
      <c r="F824" s="267"/>
      <c r="G824" s="273"/>
      <c r="H824" s="283"/>
      <c r="I824" s="290"/>
    </row>
    <row r="825" spans="1:9">
      <c r="A825" s="1"/>
      <c r="B825" s="1"/>
      <c r="C825" s="63"/>
      <c r="D825" s="10"/>
      <c r="E825" s="270"/>
      <c r="F825" s="267"/>
      <c r="G825" s="273"/>
      <c r="H825" s="283"/>
      <c r="I825" s="290"/>
    </row>
    <row r="826" spans="1:9">
      <c r="A826" s="1"/>
      <c r="B826" s="1"/>
      <c r="C826" s="63"/>
      <c r="D826" s="10"/>
      <c r="E826" s="270"/>
      <c r="F826" s="267"/>
      <c r="G826" s="273"/>
      <c r="H826" s="283"/>
      <c r="I826" s="290"/>
    </row>
    <row r="827" spans="1:9">
      <c r="A827" s="1"/>
      <c r="B827" s="1"/>
      <c r="C827" s="63"/>
      <c r="D827" s="10"/>
      <c r="E827" s="270"/>
      <c r="F827" s="267"/>
      <c r="G827" s="273"/>
      <c r="H827" s="283"/>
      <c r="I827" s="290"/>
    </row>
    <row r="828" spans="1:9">
      <c r="A828" s="1"/>
      <c r="B828" s="1"/>
      <c r="C828" s="63"/>
      <c r="D828" s="10"/>
      <c r="E828" s="270"/>
      <c r="F828" s="267"/>
      <c r="G828" s="273"/>
      <c r="H828" s="283"/>
      <c r="I828" s="290"/>
    </row>
    <row r="829" spans="1:9">
      <c r="A829" s="1"/>
      <c r="B829" s="1"/>
      <c r="C829" s="63"/>
      <c r="D829" s="10"/>
      <c r="E829" s="270"/>
      <c r="F829" s="267"/>
      <c r="G829" s="273"/>
      <c r="H829" s="283"/>
      <c r="I829" s="290"/>
    </row>
    <row r="830" spans="1:9">
      <c r="A830" s="1"/>
      <c r="B830" s="1"/>
      <c r="C830" s="63"/>
      <c r="D830" s="10"/>
      <c r="E830" s="270"/>
      <c r="F830" s="267"/>
      <c r="G830" s="273"/>
      <c r="H830" s="283"/>
      <c r="I830" s="290"/>
    </row>
    <row r="831" spans="1:9">
      <c r="A831" s="1"/>
      <c r="B831" s="1"/>
      <c r="C831" s="63"/>
      <c r="D831" s="10"/>
      <c r="E831" s="270"/>
      <c r="F831" s="267"/>
      <c r="G831" s="273"/>
      <c r="H831" s="283"/>
      <c r="I831" s="290"/>
    </row>
    <row r="832" spans="1:9">
      <c r="A832" s="1"/>
      <c r="B832" s="1"/>
      <c r="C832" s="63"/>
      <c r="D832" s="10"/>
      <c r="E832" s="270"/>
      <c r="F832" s="267"/>
      <c r="G832" s="273"/>
      <c r="H832" s="283"/>
      <c r="I832" s="290"/>
    </row>
    <row r="833" spans="1:9">
      <c r="A833" s="1"/>
      <c r="B833" s="1"/>
      <c r="C833" s="63"/>
      <c r="D833" s="10"/>
      <c r="E833" s="270"/>
      <c r="F833" s="267"/>
      <c r="G833" s="273"/>
      <c r="H833" s="283"/>
      <c r="I833" s="290"/>
    </row>
    <row r="834" spans="1:9">
      <c r="A834" s="1"/>
      <c r="B834" s="1"/>
      <c r="C834" s="63"/>
      <c r="D834" s="10"/>
      <c r="E834" s="270"/>
      <c r="F834" s="267"/>
      <c r="G834" s="273"/>
      <c r="H834" s="283"/>
      <c r="I834" s="290"/>
    </row>
    <row r="835" spans="1:9">
      <c r="A835" s="1"/>
      <c r="B835" s="1"/>
      <c r="C835" s="63"/>
      <c r="D835" s="10"/>
      <c r="E835" s="270"/>
      <c r="F835" s="267"/>
      <c r="G835" s="273"/>
      <c r="H835" s="283"/>
      <c r="I835" s="290"/>
    </row>
    <row r="836" spans="1:9">
      <c r="A836" s="1"/>
      <c r="B836" s="1"/>
      <c r="C836" s="63"/>
      <c r="D836" s="10"/>
      <c r="E836" s="270"/>
      <c r="F836" s="267"/>
      <c r="G836" s="273"/>
      <c r="H836" s="283"/>
      <c r="I836" s="290"/>
    </row>
    <row r="837" spans="1:9">
      <c r="A837" s="1"/>
      <c r="B837" s="1"/>
      <c r="C837" s="63"/>
      <c r="D837" s="10"/>
      <c r="E837" s="270"/>
      <c r="F837" s="267"/>
      <c r="G837" s="273"/>
      <c r="H837" s="283"/>
      <c r="I837" s="290"/>
    </row>
    <row r="838" spans="1:9">
      <c r="A838" s="1"/>
      <c r="B838" s="1"/>
      <c r="C838" s="63"/>
      <c r="D838" s="10"/>
      <c r="E838" s="270"/>
      <c r="F838" s="267"/>
      <c r="G838" s="273"/>
      <c r="H838" s="283"/>
      <c r="I838" s="290"/>
    </row>
    <row r="839" spans="1:9">
      <c r="A839" s="1"/>
      <c r="B839" s="1"/>
      <c r="C839" s="63"/>
      <c r="D839" s="10"/>
      <c r="E839" s="270"/>
      <c r="F839" s="267"/>
      <c r="G839" s="273"/>
      <c r="H839" s="283"/>
      <c r="I839" s="290"/>
    </row>
    <row r="840" spans="1:9">
      <c r="A840" s="1"/>
      <c r="B840" s="1"/>
      <c r="C840" s="63"/>
      <c r="D840" s="10"/>
      <c r="E840" s="270"/>
      <c r="F840" s="267"/>
      <c r="G840" s="273"/>
      <c r="H840" s="283"/>
      <c r="I840" s="290"/>
    </row>
    <row r="841" spans="1:9">
      <c r="A841" s="1"/>
      <c r="B841" s="1"/>
      <c r="C841" s="63"/>
      <c r="D841" s="10"/>
      <c r="E841" s="270"/>
      <c r="F841" s="267"/>
      <c r="G841" s="273"/>
      <c r="H841" s="283"/>
      <c r="I841" s="290"/>
    </row>
    <row r="842" spans="1:9">
      <c r="A842" s="1"/>
      <c r="B842" s="1"/>
      <c r="C842" s="63"/>
      <c r="D842" s="10"/>
      <c r="E842" s="270"/>
      <c r="F842" s="267"/>
      <c r="G842" s="273"/>
      <c r="H842" s="283"/>
      <c r="I842" s="290"/>
    </row>
    <row r="843" spans="1:9">
      <c r="A843" s="1"/>
      <c r="B843" s="1"/>
      <c r="C843" s="63"/>
      <c r="D843" s="10"/>
      <c r="E843" s="270"/>
      <c r="F843" s="267"/>
      <c r="G843" s="273"/>
      <c r="H843" s="283"/>
      <c r="I843" s="290"/>
    </row>
    <row r="844" spans="1:9">
      <c r="A844" s="1"/>
      <c r="B844" s="1"/>
      <c r="C844" s="63"/>
      <c r="D844" s="10"/>
      <c r="E844" s="270"/>
      <c r="F844" s="267"/>
      <c r="G844" s="273"/>
      <c r="H844" s="283"/>
      <c r="I844" s="290"/>
    </row>
    <row r="845" spans="1:9">
      <c r="A845" s="1"/>
      <c r="B845" s="1"/>
      <c r="C845" s="63"/>
      <c r="D845" s="10"/>
      <c r="E845" s="270"/>
      <c r="F845" s="267"/>
      <c r="G845" s="273"/>
      <c r="H845" s="283"/>
      <c r="I845" s="290"/>
    </row>
    <row r="846" spans="1:9">
      <c r="A846" s="1"/>
      <c r="B846" s="1"/>
      <c r="C846" s="63"/>
      <c r="D846" s="10"/>
      <c r="E846" s="270"/>
      <c r="F846" s="267"/>
      <c r="G846" s="273"/>
      <c r="H846" s="283"/>
      <c r="I846" s="290"/>
    </row>
    <row r="847" spans="1:9">
      <c r="A847" s="1"/>
      <c r="B847" s="1"/>
      <c r="C847" s="63"/>
      <c r="D847" s="10"/>
      <c r="E847" s="270"/>
      <c r="F847" s="267"/>
      <c r="G847" s="273"/>
      <c r="H847" s="283"/>
      <c r="I847" s="290"/>
    </row>
    <row r="848" spans="1:9">
      <c r="A848" s="1"/>
      <c r="B848" s="1"/>
      <c r="C848" s="63"/>
      <c r="D848" s="10"/>
      <c r="E848" s="270"/>
      <c r="F848" s="267"/>
      <c r="G848" s="273"/>
      <c r="H848" s="283"/>
      <c r="I848" s="290"/>
    </row>
    <row r="849" spans="1:9">
      <c r="A849" s="1"/>
      <c r="B849" s="1"/>
      <c r="C849" s="63"/>
      <c r="D849" s="10"/>
      <c r="E849" s="270"/>
      <c r="F849" s="267"/>
      <c r="G849" s="273"/>
      <c r="H849" s="283"/>
      <c r="I849" s="290"/>
    </row>
    <row r="850" spans="1:9">
      <c r="A850" s="1"/>
      <c r="B850" s="1"/>
      <c r="C850" s="63"/>
      <c r="D850" s="10"/>
      <c r="E850" s="270"/>
      <c r="F850" s="267"/>
      <c r="G850" s="273"/>
      <c r="H850" s="283"/>
      <c r="I850" s="290"/>
    </row>
    <row r="851" spans="1:9">
      <c r="A851" s="1"/>
      <c r="B851" s="1"/>
      <c r="C851" s="63"/>
      <c r="D851" s="10"/>
      <c r="E851" s="270"/>
      <c r="F851" s="267"/>
      <c r="G851" s="273"/>
      <c r="H851" s="283"/>
      <c r="I851" s="290"/>
    </row>
    <row r="852" spans="1:9">
      <c r="A852" s="1"/>
      <c r="B852" s="1"/>
      <c r="C852" s="63"/>
      <c r="D852" s="10"/>
      <c r="E852" s="270"/>
      <c r="F852" s="267"/>
      <c r="G852" s="273"/>
      <c r="H852" s="283"/>
      <c r="I852" s="290"/>
    </row>
    <row r="853" spans="1:9">
      <c r="A853" s="1"/>
      <c r="B853" s="1"/>
      <c r="C853" s="63"/>
      <c r="D853" s="10"/>
      <c r="E853" s="270"/>
      <c r="F853" s="267"/>
      <c r="G853" s="273"/>
      <c r="H853" s="283"/>
      <c r="I853" s="290"/>
    </row>
    <row r="854" spans="1:9">
      <c r="A854" s="1"/>
      <c r="B854" s="1"/>
      <c r="C854" s="63"/>
      <c r="D854" s="10"/>
      <c r="E854" s="270"/>
      <c r="F854" s="267"/>
      <c r="G854" s="273"/>
      <c r="H854" s="283"/>
      <c r="I854" s="290"/>
    </row>
    <row r="855" spans="1:9">
      <c r="A855" s="1"/>
      <c r="B855" s="1"/>
      <c r="C855" s="63"/>
      <c r="D855" s="10"/>
      <c r="E855" s="270"/>
      <c r="F855" s="267"/>
      <c r="G855" s="273"/>
      <c r="H855" s="283"/>
      <c r="I855" s="290"/>
    </row>
    <row r="856" spans="1:9">
      <c r="A856" s="1"/>
      <c r="B856" s="1"/>
      <c r="C856" s="63"/>
      <c r="D856" s="10"/>
      <c r="E856" s="270"/>
      <c r="F856" s="267"/>
      <c r="G856" s="273"/>
      <c r="H856" s="283"/>
      <c r="I856" s="290"/>
    </row>
    <row r="857" spans="1:9">
      <c r="A857" s="1"/>
      <c r="B857" s="1"/>
      <c r="C857" s="63"/>
      <c r="D857" s="10"/>
      <c r="E857" s="270"/>
      <c r="F857" s="267"/>
      <c r="G857" s="273"/>
      <c r="H857" s="283"/>
      <c r="I857" s="290"/>
    </row>
    <row r="858" spans="1:9">
      <c r="A858" s="1"/>
      <c r="B858" s="1"/>
      <c r="C858" s="63"/>
      <c r="D858" s="10"/>
      <c r="E858" s="270"/>
      <c r="F858" s="267"/>
      <c r="G858" s="273"/>
      <c r="H858" s="283"/>
      <c r="I858" s="290"/>
    </row>
    <row r="859" spans="1:9">
      <c r="A859" s="1"/>
      <c r="B859" s="1"/>
      <c r="C859" s="63"/>
      <c r="D859" s="10"/>
      <c r="E859" s="270"/>
      <c r="F859" s="267"/>
      <c r="G859" s="273"/>
      <c r="H859" s="283"/>
      <c r="I859" s="290"/>
    </row>
    <row r="860" spans="1:9">
      <c r="A860" s="1"/>
      <c r="B860" s="1"/>
      <c r="C860" s="63"/>
      <c r="D860" s="10"/>
      <c r="E860" s="270"/>
      <c r="F860" s="267"/>
      <c r="G860" s="273"/>
      <c r="H860" s="283"/>
      <c r="I860" s="290"/>
    </row>
    <row r="861" spans="1:9">
      <c r="A861" s="1"/>
      <c r="B861" s="1"/>
      <c r="C861" s="63"/>
      <c r="D861" s="10"/>
      <c r="E861" s="270"/>
      <c r="F861" s="267"/>
      <c r="G861" s="273"/>
      <c r="H861" s="283"/>
      <c r="I861" s="290"/>
    </row>
    <row r="862" spans="1:9">
      <c r="A862" s="1"/>
      <c r="B862" s="1"/>
      <c r="C862" s="63"/>
      <c r="D862" s="10"/>
      <c r="E862" s="270"/>
      <c r="F862" s="267"/>
      <c r="G862" s="273"/>
      <c r="H862" s="283"/>
      <c r="I862" s="290"/>
    </row>
    <row r="863" spans="1:9">
      <c r="A863" s="1"/>
      <c r="B863" s="1"/>
      <c r="C863" s="63"/>
      <c r="D863" s="10"/>
      <c r="E863" s="270"/>
      <c r="F863" s="267"/>
      <c r="G863" s="273"/>
      <c r="H863" s="283"/>
      <c r="I863" s="290"/>
    </row>
    <row r="864" spans="1:9">
      <c r="A864" s="1"/>
      <c r="B864" s="1"/>
      <c r="C864" s="63"/>
      <c r="D864" s="10"/>
      <c r="E864" s="270"/>
      <c r="F864" s="267"/>
      <c r="G864" s="273"/>
      <c r="H864" s="283"/>
      <c r="I864" s="290"/>
    </row>
    <row r="865" spans="1:9">
      <c r="A865" s="1"/>
      <c r="B865" s="1"/>
      <c r="C865" s="63"/>
      <c r="D865" s="10"/>
      <c r="E865" s="270"/>
      <c r="F865" s="267"/>
      <c r="G865" s="273"/>
      <c r="H865" s="283"/>
      <c r="I865" s="290"/>
    </row>
    <row r="866" spans="1:9">
      <c r="A866" s="1"/>
      <c r="B866" s="1"/>
      <c r="C866" s="63"/>
      <c r="D866" s="10"/>
      <c r="E866" s="270"/>
      <c r="F866" s="267"/>
      <c r="G866" s="273"/>
      <c r="H866" s="283"/>
      <c r="I866" s="290"/>
    </row>
    <row r="867" spans="1:9">
      <c r="A867" s="1"/>
      <c r="B867" s="1"/>
      <c r="C867" s="63"/>
      <c r="D867" s="10"/>
      <c r="E867" s="270"/>
      <c r="F867" s="267"/>
      <c r="G867" s="273"/>
      <c r="H867" s="283"/>
      <c r="I867" s="290"/>
    </row>
    <row r="868" spans="1:9">
      <c r="A868" s="1"/>
      <c r="B868" s="1"/>
      <c r="C868" s="63"/>
      <c r="D868" s="10"/>
      <c r="E868" s="270"/>
      <c r="F868" s="267"/>
      <c r="G868" s="273"/>
      <c r="H868" s="283"/>
      <c r="I868" s="290"/>
    </row>
    <row r="869" spans="1:9">
      <c r="A869" s="1"/>
      <c r="B869" s="1"/>
      <c r="C869" s="63"/>
      <c r="D869" s="10"/>
      <c r="E869" s="270"/>
      <c r="F869" s="267"/>
      <c r="G869" s="273"/>
      <c r="H869" s="283"/>
      <c r="I869" s="290"/>
    </row>
    <row r="870" spans="1:9">
      <c r="A870" s="1"/>
      <c r="B870" s="1"/>
      <c r="C870" s="63"/>
      <c r="D870" s="10"/>
      <c r="E870" s="270"/>
      <c r="F870" s="267"/>
      <c r="G870" s="273"/>
      <c r="H870" s="283"/>
      <c r="I870" s="290"/>
    </row>
    <row r="871" spans="1:9">
      <c r="A871" s="1"/>
      <c r="B871" s="1"/>
      <c r="C871" s="63"/>
      <c r="D871" s="10"/>
      <c r="E871" s="270"/>
      <c r="F871" s="267"/>
      <c r="G871" s="273"/>
      <c r="H871" s="283"/>
      <c r="I871" s="290"/>
    </row>
    <row r="872" spans="1:9">
      <c r="A872" s="1"/>
      <c r="B872" s="1"/>
      <c r="C872" s="63"/>
      <c r="D872" s="10"/>
      <c r="E872" s="270"/>
      <c r="F872" s="267"/>
      <c r="G872" s="273"/>
      <c r="H872" s="283"/>
      <c r="I872" s="290"/>
    </row>
    <row r="873" spans="1:9">
      <c r="A873" s="1"/>
      <c r="B873" s="1"/>
      <c r="C873" s="63"/>
      <c r="D873" s="10"/>
      <c r="E873" s="270"/>
      <c r="F873" s="267"/>
      <c r="G873" s="273"/>
      <c r="H873" s="283"/>
      <c r="I873" s="290"/>
    </row>
    <row r="874" spans="1:9">
      <c r="A874" s="1"/>
      <c r="B874" s="1"/>
      <c r="C874" s="63"/>
      <c r="D874" s="10"/>
      <c r="E874" s="270"/>
      <c r="F874" s="267"/>
      <c r="G874" s="273"/>
      <c r="H874" s="283"/>
      <c r="I874" s="290"/>
    </row>
    <row r="875" spans="1:9">
      <c r="A875" s="1"/>
      <c r="B875" s="1"/>
      <c r="C875" s="63"/>
      <c r="D875" s="10"/>
      <c r="E875" s="270"/>
      <c r="F875" s="267"/>
      <c r="G875" s="273"/>
      <c r="H875" s="283"/>
      <c r="I875" s="290"/>
    </row>
    <row r="876" spans="1:9">
      <c r="A876" s="1"/>
      <c r="B876" s="1"/>
      <c r="C876" s="63"/>
      <c r="D876" s="10"/>
      <c r="E876" s="270"/>
      <c r="F876" s="267"/>
      <c r="G876" s="273"/>
      <c r="H876" s="283"/>
      <c r="I876" s="290"/>
    </row>
    <row r="877" spans="1:9">
      <c r="A877" s="1"/>
      <c r="B877" s="1"/>
      <c r="C877" s="63"/>
      <c r="D877" s="10"/>
      <c r="E877" s="270"/>
      <c r="F877" s="267"/>
      <c r="G877" s="273"/>
      <c r="H877" s="283"/>
      <c r="I877" s="290"/>
    </row>
    <row r="878" spans="1:9">
      <c r="A878" s="1"/>
      <c r="B878" s="1"/>
      <c r="C878" s="63"/>
      <c r="D878" s="10"/>
      <c r="E878" s="270"/>
      <c r="F878" s="267"/>
      <c r="G878" s="273"/>
      <c r="H878" s="283"/>
      <c r="I878" s="290"/>
    </row>
    <row r="879" spans="1:9">
      <c r="A879" s="1"/>
      <c r="B879" s="1"/>
      <c r="C879" s="63"/>
      <c r="D879" s="10"/>
      <c r="E879" s="270"/>
      <c r="F879" s="267"/>
      <c r="G879" s="273"/>
      <c r="H879" s="283"/>
      <c r="I879" s="290"/>
    </row>
    <row r="880" spans="1:9">
      <c r="A880" s="1"/>
      <c r="B880" s="1"/>
      <c r="C880" s="63"/>
      <c r="D880" s="10"/>
      <c r="E880" s="270"/>
      <c r="F880" s="267"/>
      <c r="G880" s="273"/>
      <c r="H880" s="283"/>
      <c r="I880" s="290"/>
    </row>
    <row r="881" spans="1:9">
      <c r="A881" s="1"/>
      <c r="B881" s="1"/>
      <c r="C881" s="63"/>
      <c r="D881" s="10"/>
      <c r="E881" s="270"/>
      <c r="F881" s="267"/>
      <c r="G881" s="273"/>
      <c r="H881" s="283"/>
      <c r="I881" s="290"/>
    </row>
    <row r="882" spans="1:9">
      <c r="A882" s="1"/>
      <c r="B882" s="1"/>
      <c r="C882" s="63"/>
      <c r="D882" s="10"/>
      <c r="E882" s="270"/>
      <c r="F882" s="267"/>
      <c r="G882" s="273"/>
      <c r="H882" s="283"/>
      <c r="I882" s="290"/>
    </row>
    <row r="883" spans="1:9">
      <c r="A883" s="1"/>
      <c r="B883" s="1"/>
      <c r="C883" s="63"/>
      <c r="D883" s="10"/>
      <c r="E883" s="270"/>
      <c r="F883" s="267"/>
      <c r="G883" s="273"/>
      <c r="H883" s="283"/>
      <c r="I883" s="290"/>
    </row>
    <row r="884" spans="1:9">
      <c r="A884" s="1"/>
      <c r="B884" s="1"/>
      <c r="C884" s="63"/>
      <c r="D884" s="10"/>
      <c r="E884" s="270"/>
      <c r="F884" s="267"/>
      <c r="G884" s="273"/>
      <c r="H884" s="283"/>
      <c r="I884" s="290"/>
    </row>
    <row r="885" spans="1:9">
      <c r="A885" s="1"/>
      <c r="B885" s="1"/>
      <c r="C885" s="63"/>
      <c r="D885" s="10"/>
      <c r="E885" s="270"/>
      <c r="F885" s="267"/>
      <c r="G885" s="273"/>
      <c r="H885" s="283"/>
      <c r="I885" s="290"/>
    </row>
    <row r="886" spans="1:9">
      <c r="A886" s="1"/>
      <c r="B886" s="1"/>
      <c r="C886" s="63"/>
      <c r="D886" s="10"/>
      <c r="E886" s="270"/>
      <c r="F886" s="267"/>
      <c r="G886" s="273"/>
      <c r="H886" s="283"/>
      <c r="I886" s="290"/>
    </row>
    <row r="887" spans="1:9">
      <c r="A887" s="1"/>
      <c r="B887" s="1"/>
      <c r="C887" s="63"/>
      <c r="D887" s="10"/>
      <c r="E887" s="270"/>
      <c r="F887" s="267"/>
      <c r="G887" s="273"/>
      <c r="H887" s="283"/>
      <c r="I887" s="290"/>
    </row>
    <row r="888" spans="1:9">
      <c r="A888" s="1"/>
      <c r="B888" s="1"/>
      <c r="C888" s="63"/>
      <c r="D888" s="10"/>
      <c r="E888" s="270"/>
      <c r="F888" s="267"/>
      <c r="G888" s="273"/>
      <c r="H888" s="283"/>
      <c r="I888" s="290"/>
    </row>
    <row r="889" spans="1:9">
      <c r="A889" s="1"/>
      <c r="B889" s="1"/>
      <c r="C889" s="63"/>
      <c r="D889" s="10"/>
      <c r="E889" s="270"/>
      <c r="F889" s="267"/>
      <c r="G889" s="273"/>
      <c r="H889" s="283"/>
      <c r="I889" s="290"/>
    </row>
    <row r="890" spans="1:9">
      <c r="A890" s="1"/>
      <c r="B890" s="1"/>
      <c r="C890" s="63"/>
      <c r="D890" s="10"/>
      <c r="E890" s="270"/>
      <c r="F890" s="267"/>
      <c r="G890" s="273"/>
      <c r="H890" s="283"/>
      <c r="I890" s="290"/>
    </row>
    <row r="891" spans="1:9">
      <c r="A891" s="1"/>
      <c r="B891" s="1"/>
      <c r="C891" s="63"/>
      <c r="D891" s="10"/>
      <c r="E891" s="270"/>
      <c r="F891" s="267"/>
      <c r="G891" s="273"/>
      <c r="H891" s="283"/>
      <c r="I891" s="290"/>
    </row>
    <row r="892" spans="1:9">
      <c r="A892" s="1"/>
      <c r="B892" s="1"/>
      <c r="C892" s="63"/>
      <c r="D892" s="10"/>
      <c r="E892" s="270"/>
      <c r="F892" s="267"/>
      <c r="G892" s="273"/>
      <c r="H892" s="283"/>
      <c r="I892" s="290"/>
    </row>
    <row r="893" spans="1:9">
      <c r="A893" s="1"/>
      <c r="B893" s="1"/>
      <c r="C893" s="63"/>
      <c r="D893" s="10"/>
      <c r="E893" s="270"/>
      <c r="F893" s="267"/>
      <c r="G893" s="273"/>
      <c r="H893" s="283"/>
      <c r="I893" s="290"/>
    </row>
    <row r="894" spans="1:9">
      <c r="A894" s="1"/>
      <c r="B894" s="1"/>
      <c r="C894" s="63"/>
      <c r="D894" s="10"/>
      <c r="E894" s="270"/>
      <c r="F894" s="267"/>
      <c r="G894" s="273"/>
      <c r="H894" s="283"/>
      <c r="I894" s="290"/>
    </row>
    <row r="895" spans="1:9">
      <c r="A895" s="1"/>
      <c r="B895" s="1"/>
      <c r="C895" s="63"/>
      <c r="D895" s="10"/>
      <c r="E895" s="270"/>
      <c r="F895" s="267"/>
      <c r="G895" s="273"/>
      <c r="H895" s="283"/>
      <c r="I895" s="290"/>
    </row>
    <row r="896" spans="1:9">
      <c r="A896" s="1"/>
      <c r="B896" s="1"/>
      <c r="C896" s="63"/>
      <c r="D896" s="10"/>
      <c r="E896" s="270"/>
      <c r="F896" s="267"/>
      <c r="G896" s="273"/>
      <c r="H896" s="283"/>
      <c r="I896" s="290"/>
    </row>
    <row r="897" spans="1:9">
      <c r="A897" s="1"/>
      <c r="B897" s="1"/>
      <c r="C897" s="63"/>
      <c r="D897" s="10"/>
      <c r="E897" s="270"/>
      <c r="F897" s="267"/>
      <c r="G897" s="273"/>
      <c r="H897" s="283"/>
      <c r="I897" s="290"/>
    </row>
    <row r="898" spans="1:9">
      <c r="A898" s="1"/>
      <c r="B898" s="1"/>
      <c r="C898" s="63"/>
      <c r="D898" s="10"/>
      <c r="E898" s="270"/>
      <c r="F898" s="267"/>
      <c r="G898" s="273"/>
      <c r="H898" s="283"/>
      <c r="I898" s="290"/>
    </row>
    <row r="899" spans="1:9">
      <c r="A899" s="1"/>
      <c r="B899" s="1"/>
      <c r="C899" s="63"/>
      <c r="D899" s="10"/>
      <c r="E899" s="270"/>
      <c r="F899" s="267"/>
      <c r="G899" s="273"/>
      <c r="H899" s="283"/>
      <c r="I899" s="290"/>
    </row>
    <row r="900" spans="1:9">
      <c r="A900" s="1"/>
      <c r="B900" s="1"/>
      <c r="C900" s="63"/>
      <c r="D900" s="10"/>
      <c r="E900" s="270"/>
      <c r="F900" s="267"/>
      <c r="G900" s="273"/>
      <c r="H900" s="283"/>
      <c r="I900" s="290"/>
    </row>
    <row r="901" spans="1:9">
      <c r="A901" s="1"/>
      <c r="B901" s="1"/>
      <c r="C901" s="63"/>
      <c r="D901" s="10"/>
      <c r="E901" s="270"/>
      <c r="F901" s="267"/>
      <c r="G901" s="273"/>
      <c r="H901" s="283"/>
      <c r="I901" s="290"/>
    </row>
    <row r="902" spans="1:9">
      <c r="A902" s="1"/>
      <c r="B902" s="1"/>
      <c r="C902" s="63"/>
      <c r="D902" s="10"/>
      <c r="E902" s="270"/>
      <c r="F902" s="267"/>
      <c r="G902" s="273"/>
      <c r="H902" s="283"/>
      <c r="I902" s="290"/>
    </row>
    <row r="903" spans="1:9">
      <c r="A903" s="1"/>
      <c r="B903" s="1"/>
      <c r="C903" s="63"/>
      <c r="D903" s="10"/>
      <c r="E903" s="270"/>
      <c r="F903" s="267"/>
      <c r="G903" s="273"/>
      <c r="H903" s="283"/>
      <c r="I903" s="290"/>
    </row>
    <row r="904" spans="1:9">
      <c r="A904" s="1"/>
      <c r="B904" s="1"/>
      <c r="C904" s="63"/>
      <c r="D904" s="10"/>
      <c r="E904" s="270"/>
      <c r="F904" s="267"/>
      <c r="G904" s="273"/>
      <c r="H904" s="283"/>
      <c r="I904" s="290"/>
    </row>
    <row r="905" spans="1:9">
      <c r="A905" s="1"/>
      <c r="B905" s="1"/>
      <c r="C905" s="63"/>
      <c r="D905" s="10"/>
      <c r="E905" s="270"/>
      <c r="F905" s="267"/>
      <c r="G905" s="273"/>
      <c r="H905" s="283"/>
      <c r="I905" s="290"/>
    </row>
    <row r="906" spans="1:9">
      <c r="A906" s="1"/>
      <c r="B906" s="1"/>
      <c r="C906" s="63"/>
      <c r="D906" s="10"/>
      <c r="E906" s="270"/>
      <c r="F906" s="267"/>
      <c r="G906" s="273"/>
      <c r="H906" s="283"/>
      <c r="I906" s="290"/>
    </row>
    <row r="907" spans="1:9">
      <c r="A907" s="1"/>
      <c r="B907" s="1"/>
      <c r="C907" s="63"/>
      <c r="D907" s="10"/>
      <c r="E907" s="270"/>
      <c r="F907" s="267"/>
      <c r="G907" s="273"/>
      <c r="H907" s="283"/>
      <c r="I907" s="290"/>
    </row>
    <row r="908" spans="1:9">
      <c r="A908" s="1"/>
      <c r="B908" s="1"/>
      <c r="C908" s="63"/>
      <c r="D908" s="10"/>
      <c r="E908" s="270"/>
      <c r="F908" s="267"/>
      <c r="G908" s="273"/>
      <c r="H908" s="283"/>
      <c r="I908" s="290"/>
    </row>
    <row r="909" spans="1:9">
      <c r="A909" s="1"/>
      <c r="B909" s="1"/>
      <c r="C909" s="63"/>
      <c r="D909" s="10"/>
      <c r="E909" s="270"/>
      <c r="F909" s="267"/>
      <c r="G909" s="273"/>
      <c r="H909" s="283"/>
      <c r="I909" s="290"/>
    </row>
    <row r="910" spans="1:9">
      <c r="A910" s="1"/>
      <c r="B910" s="1"/>
      <c r="C910" s="63"/>
      <c r="D910" s="10"/>
      <c r="E910" s="270"/>
      <c r="F910" s="267"/>
      <c r="G910" s="273"/>
      <c r="H910" s="283"/>
      <c r="I910" s="290"/>
    </row>
    <row r="911" spans="1:9">
      <c r="A911" s="1"/>
      <c r="B911" s="1"/>
      <c r="C911" s="63"/>
      <c r="D911" s="10"/>
      <c r="E911" s="270"/>
      <c r="F911" s="267"/>
      <c r="G911" s="273"/>
      <c r="H911" s="283"/>
      <c r="I911" s="290"/>
    </row>
    <row r="912" spans="1:9">
      <c r="A912" s="1"/>
      <c r="B912" s="1"/>
      <c r="C912" s="63"/>
      <c r="D912" s="10"/>
      <c r="E912" s="270"/>
      <c r="F912" s="267"/>
      <c r="G912" s="273"/>
      <c r="H912" s="283"/>
      <c r="I912" s="290"/>
    </row>
    <row r="913" spans="1:9">
      <c r="A913" s="1"/>
      <c r="B913" s="1"/>
      <c r="C913" s="63"/>
      <c r="D913" s="10"/>
      <c r="E913" s="270"/>
      <c r="F913" s="267"/>
      <c r="G913" s="273"/>
      <c r="H913" s="283"/>
      <c r="I913" s="290"/>
    </row>
    <row r="914" spans="1:9">
      <c r="A914" s="1"/>
      <c r="B914" s="1"/>
      <c r="C914" s="63"/>
      <c r="D914" s="10"/>
      <c r="E914" s="270"/>
      <c r="F914" s="267"/>
      <c r="G914" s="273"/>
      <c r="H914" s="283"/>
      <c r="I914" s="290"/>
    </row>
    <row r="915" spans="1:9">
      <c r="A915" s="1"/>
      <c r="B915" s="1"/>
      <c r="C915" s="63"/>
      <c r="D915" s="10"/>
      <c r="E915" s="270"/>
      <c r="F915" s="267"/>
      <c r="G915" s="273"/>
      <c r="H915" s="283"/>
      <c r="I915" s="290"/>
    </row>
    <row r="916" spans="1:9">
      <c r="A916" s="1"/>
      <c r="B916" s="1"/>
      <c r="C916" s="63"/>
      <c r="D916" s="10"/>
      <c r="E916" s="270"/>
      <c r="F916" s="267"/>
      <c r="G916" s="273"/>
      <c r="H916" s="283"/>
      <c r="I916" s="290"/>
    </row>
    <row r="917" spans="1:9">
      <c r="A917" s="1"/>
      <c r="B917" s="1"/>
      <c r="C917" s="63"/>
      <c r="D917" s="10"/>
      <c r="E917" s="270"/>
      <c r="F917" s="267"/>
      <c r="G917" s="273"/>
      <c r="H917" s="283"/>
      <c r="I917" s="290"/>
    </row>
    <row r="918" spans="1:9">
      <c r="A918" s="1"/>
      <c r="B918" s="1"/>
      <c r="C918" s="63"/>
      <c r="D918" s="10"/>
      <c r="E918" s="270"/>
      <c r="F918" s="267"/>
      <c r="G918" s="273"/>
      <c r="H918" s="283"/>
      <c r="I918" s="290"/>
    </row>
    <row r="919" spans="1:9">
      <c r="A919" s="1"/>
      <c r="B919" s="1"/>
      <c r="C919" s="63"/>
      <c r="D919" s="10"/>
      <c r="E919" s="270"/>
      <c r="F919" s="267"/>
      <c r="G919" s="273"/>
      <c r="H919" s="283"/>
      <c r="I919" s="290"/>
    </row>
    <row r="920" spans="1:9">
      <c r="A920" s="1"/>
      <c r="B920" s="1"/>
      <c r="C920" s="63"/>
      <c r="D920" s="10"/>
      <c r="E920" s="270"/>
      <c r="F920" s="267"/>
      <c r="G920" s="273"/>
      <c r="H920" s="283"/>
      <c r="I920" s="290"/>
    </row>
    <row r="921" spans="1:9">
      <c r="A921" s="1"/>
      <c r="B921" s="1"/>
      <c r="C921" s="63"/>
      <c r="D921" s="10"/>
      <c r="E921" s="270"/>
      <c r="F921" s="267"/>
      <c r="G921" s="273"/>
      <c r="H921" s="283"/>
      <c r="I921" s="290"/>
    </row>
    <row r="922" spans="1:9">
      <c r="A922" s="1"/>
      <c r="B922" s="1"/>
      <c r="C922" s="63"/>
      <c r="D922" s="10"/>
      <c r="E922" s="270"/>
      <c r="F922" s="267"/>
      <c r="G922" s="273"/>
      <c r="H922" s="283"/>
      <c r="I922" s="290"/>
    </row>
    <row r="923" spans="1:9">
      <c r="A923" s="1"/>
      <c r="B923" s="1"/>
      <c r="C923" s="63"/>
      <c r="D923" s="10"/>
      <c r="E923" s="270"/>
      <c r="F923" s="267"/>
      <c r="G923" s="273"/>
      <c r="H923" s="283"/>
      <c r="I923" s="290"/>
    </row>
    <row r="924" spans="1:9">
      <c r="A924" s="1"/>
      <c r="B924" s="1"/>
      <c r="C924" s="63"/>
      <c r="D924" s="10"/>
      <c r="E924" s="270"/>
      <c r="F924" s="267"/>
      <c r="G924" s="273"/>
      <c r="H924" s="283"/>
      <c r="I924" s="290"/>
    </row>
    <row r="925" spans="1:9">
      <c r="A925" s="1"/>
      <c r="B925" s="1"/>
      <c r="C925" s="63"/>
      <c r="D925" s="10"/>
      <c r="E925" s="270"/>
      <c r="F925" s="267"/>
      <c r="G925" s="273"/>
      <c r="H925" s="283"/>
      <c r="I925" s="290"/>
    </row>
    <row r="926" spans="1:9">
      <c r="A926" s="1"/>
      <c r="B926" s="1"/>
      <c r="C926" s="63"/>
      <c r="D926" s="10"/>
      <c r="E926" s="270"/>
      <c r="F926" s="267"/>
      <c r="G926" s="273"/>
      <c r="H926" s="283"/>
      <c r="I926" s="290"/>
    </row>
    <row r="927" spans="1:9">
      <c r="A927" s="1"/>
      <c r="B927" s="1"/>
      <c r="C927" s="63"/>
      <c r="D927" s="10"/>
      <c r="E927" s="270"/>
      <c r="F927" s="267"/>
      <c r="G927" s="273"/>
      <c r="H927" s="283"/>
      <c r="I927" s="290"/>
    </row>
    <row r="928" spans="1:9">
      <c r="A928" s="1"/>
      <c r="B928" s="1"/>
      <c r="C928" s="63"/>
      <c r="D928" s="10"/>
      <c r="E928" s="270"/>
      <c r="F928" s="267"/>
      <c r="G928" s="273"/>
      <c r="H928" s="283"/>
      <c r="I928" s="290"/>
    </row>
    <row r="929" spans="1:9">
      <c r="A929" s="1"/>
      <c r="B929" s="1"/>
      <c r="C929" s="63"/>
      <c r="D929" s="10"/>
      <c r="E929" s="270"/>
      <c r="F929" s="267"/>
      <c r="G929" s="273"/>
      <c r="H929" s="283"/>
      <c r="I929" s="290"/>
    </row>
    <row r="930" spans="1:9">
      <c r="A930" s="1"/>
      <c r="B930" s="1"/>
      <c r="C930" s="63"/>
      <c r="D930" s="10"/>
      <c r="E930" s="270"/>
      <c r="F930" s="267"/>
      <c r="G930" s="273"/>
      <c r="H930" s="283"/>
      <c r="I930" s="290"/>
    </row>
    <row r="931" spans="1:9">
      <c r="A931" s="1"/>
      <c r="B931" s="1"/>
      <c r="C931" s="63"/>
      <c r="D931" s="10"/>
      <c r="E931" s="270"/>
      <c r="F931" s="267"/>
      <c r="G931" s="273"/>
      <c r="H931" s="283"/>
      <c r="I931" s="290"/>
    </row>
    <row r="932" spans="1:9">
      <c r="A932" s="1"/>
      <c r="B932" s="1"/>
      <c r="C932" s="63"/>
      <c r="D932" s="10"/>
      <c r="E932" s="270"/>
      <c r="F932" s="267"/>
      <c r="G932" s="273"/>
      <c r="H932" s="283"/>
      <c r="I932" s="290"/>
    </row>
    <row r="933" spans="1:9">
      <c r="A933" s="1"/>
      <c r="B933" s="1"/>
      <c r="C933" s="63"/>
      <c r="D933" s="10"/>
      <c r="E933" s="270"/>
      <c r="F933" s="267"/>
      <c r="G933" s="273"/>
      <c r="H933" s="283"/>
      <c r="I933" s="290"/>
    </row>
    <row r="934" spans="1:9">
      <c r="A934" s="1"/>
      <c r="B934" s="1"/>
      <c r="C934" s="63"/>
      <c r="D934" s="10"/>
      <c r="E934" s="270"/>
      <c r="F934" s="267"/>
      <c r="G934" s="273"/>
      <c r="H934" s="283"/>
      <c r="I934" s="290"/>
    </row>
    <row r="935" spans="1:9">
      <c r="A935" s="1"/>
      <c r="B935" s="1"/>
      <c r="C935" s="63"/>
      <c r="D935" s="10"/>
      <c r="E935" s="270"/>
      <c r="F935" s="267"/>
      <c r="G935" s="273"/>
      <c r="H935" s="283"/>
      <c r="I935" s="290"/>
    </row>
    <row r="936" spans="1:9">
      <c r="A936" s="1"/>
      <c r="B936" s="1"/>
      <c r="C936" s="63"/>
      <c r="D936" s="10"/>
      <c r="E936" s="270"/>
      <c r="F936" s="267"/>
      <c r="G936" s="273"/>
      <c r="H936" s="283"/>
      <c r="I936" s="290"/>
    </row>
    <row r="937" spans="1:9">
      <c r="A937" s="1"/>
      <c r="B937" s="1"/>
      <c r="C937" s="63"/>
      <c r="D937" s="10"/>
      <c r="E937" s="270"/>
      <c r="F937" s="267"/>
      <c r="G937" s="273"/>
      <c r="H937" s="283"/>
      <c r="I937" s="290"/>
    </row>
    <row r="938" spans="1:9">
      <c r="A938" s="1"/>
      <c r="B938" s="1"/>
      <c r="C938" s="63"/>
      <c r="D938" s="10"/>
      <c r="E938" s="270"/>
      <c r="F938" s="267"/>
      <c r="G938" s="273"/>
      <c r="H938" s="283"/>
      <c r="I938" s="290"/>
    </row>
    <row r="939" spans="1:9">
      <c r="A939" s="1"/>
      <c r="B939" s="1"/>
      <c r="C939" s="63"/>
      <c r="D939" s="10"/>
      <c r="E939" s="270"/>
      <c r="F939" s="267"/>
      <c r="G939" s="273"/>
      <c r="H939" s="283"/>
      <c r="I939" s="290"/>
    </row>
    <row r="940" spans="1:9">
      <c r="A940" s="1"/>
      <c r="B940" s="1"/>
      <c r="C940" s="63"/>
      <c r="D940" s="10"/>
      <c r="E940" s="270"/>
      <c r="F940" s="267"/>
      <c r="G940" s="273"/>
      <c r="H940" s="283"/>
      <c r="I940" s="290"/>
    </row>
    <row r="941" spans="1:9">
      <c r="A941" s="1"/>
      <c r="B941" s="1"/>
      <c r="C941" s="63"/>
      <c r="D941" s="10"/>
      <c r="E941" s="270"/>
      <c r="F941" s="267"/>
      <c r="G941" s="273"/>
      <c r="H941" s="283"/>
      <c r="I941" s="290"/>
    </row>
    <row r="942" spans="1:9">
      <c r="A942" s="1"/>
      <c r="B942" s="1"/>
      <c r="C942" s="63"/>
      <c r="D942" s="10"/>
      <c r="E942" s="270"/>
      <c r="F942" s="267"/>
      <c r="G942" s="273"/>
      <c r="H942" s="283"/>
      <c r="I942" s="290"/>
    </row>
    <row r="943" spans="1:9">
      <c r="A943" s="1"/>
      <c r="B943" s="1"/>
      <c r="C943" s="63"/>
      <c r="D943" s="10"/>
      <c r="E943" s="270"/>
      <c r="F943" s="267"/>
      <c r="G943" s="273"/>
      <c r="H943" s="283"/>
      <c r="I943" s="290"/>
    </row>
    <row r="944" spans="1:9">
      <c r="A944" s="1"/>
      <c r="B944" s="1"/>
      <c r="C944" s="63"/>
      <c r="D944" s="10"/>
      <c r="E944" s="270"/>
      <c r="F944" s="267"/>
      <c r="G944" s="273"/>
      <c r="H944" s="283"/>
      <c r="I944" s="290"/>
    </row>
    <row r="945" spans="1:9">
      <c r="A945" s="1"/>
      <c r="B945" s="1"/>
      <c r="C945" s="63"/>
      <c r="D945" s="10"/>
      <c r="E945" s="270"/>
      <c r="F945" s="267"/>
      <c r="G945" s="273"/>
      <c r="H945" s="283"/>
      <c r="I945" s="290"/>
    </row>
    <row r="946" spans="1:9">
      <c r="A946" s="1"/>
      <c r="B946" s="1"/>
      <c r="C946" s="63"/>
      <c r="D946" s="10"/>
      <c r="E946" s="270"/>
      <c r="F946" s="267"/>
      <c r="G946" s="273"/>
      <c r="H946" s="283"/>
      <c r="I946" s="290"/>
    </row>
    <row r="947" spans="1:9">
      <c r="A947" s="1"/>
      <c r="B947" s="1"/>
      <c r="C947" s="63"/>
      <c r="D947" s="10"/>
      <c r="E947" s="270"/>
      <c r="F947" s="267"/>
      <c r="G947" s="273"/>
      <c r="H947" s="283"/>
      <c r="I947" s="290"/>
    </row>
    <row r="948" spans="1:9">
      <c r="A948" s="1"/>
      <c r="B948" s="1"/>
      <c r="C948" s="63"/>
      <c r="D948" s="10"/>
      <c r="E948" s="270"/>
      <c r="F948" s="267"/>
      <c r="G948" s="273"/>
      <c r="H948" s="283"/>
      <c r="I948" s="290"/>
    </row>
    <row r="949" spans="1:9">
      <c r="A949" s="1"/>
      <c r="B949" s="1"/>
      <c r="C949" s="63"/>
      <c r="D949" s="10"/>
      <c r="E949" s="270"/>
      <c r="F949" s="267"/>
      <c r="G949" s="273"/>
      <c r="H949" s="283"/>
      <c r="I949" s="290"/>
    </row>
    <row r="950" spans="1:9">
      <c r="A950" s="1"/>
      <c r="B950" s="1"/>
      <c r="C950" s="63"/>
      <c r="D950" s="10"/>
      <c r="E950" s="270"/>
      <c r="F950" s="267"/>
      <c r="G950" s="273"/>
      <c r="H950" s="283"/>
      <c r="I950" s="290"/>
    </row>
    <row r="951" spans="1:9">
      <c r="A951" s="1"/>
      <c r="B951" s="1"/>
      <c r="C951" s="63"/>
      <c r="D951" s="10"/>
      <c r="E951" s="270"/>
      <c r="F951" s="267"/>
      <c r="G951" s="273"/>
      <c r="H951" s="283"/>
      <c r="I951" s="290"/>
    </row>
    <row r="952" spans="1:9">
      <c r="A952" s="1"/>
      <c r="B952" s="1"/>
      <c r="C952" s="63"/>
      <c r="D952" s="10"/>
      <c r="E952" s="270"/>
      <c r="F952" s="267"/>
      <c r="G952" s="273"/>
      <c r="H952" s="283"/>
      <c r="I952" s="290"/>
    </row>
    <row r="953" spans="1:9">
      <c r="A953" s="1"/>
      <c r="B953" s="1"/>
      <c r="C953" s="63"/>
      <c r="D953" s="10"/>
      <c r="E953" s="270"/>
      <c r="F953" s="267"/>
      <c r="G953" s="273"/>
      <c r="H953" s="283"/>
      <c r="I953" s="290"/>
    </row>
    <row r="954" spans="1:9">
      <c r="A954" s="1"/>
      <c r="B954" s="1"/>
      <c r="C954" s="63"/>
      <c r="D954" s="10"/>
      <c r="E954" s="270"/>
      <c r="F954" s="267"/>
      <c r="G954" s="273"/>
      <c r="H954" s="283"/>
      <c r="I954" s="290"/>
    </row>
    <row r="955" spans="1:9">
      <c r="A955" s="1"/>
      <c r="B955" s="1"/>
      <c r="C955" s="63"/>
      <c r="D955" s="10"/>
      <c r="E955" s="270"/>
      <c r="F955" s="267"/>
      <c r="G955" s="273"/>
      <c r="H955" s="283"/>
      <c r="I955" s="290"/>
    </row>
    <row r="956" spans="1:9">
      <c r="A956" s="1"/>
      <c r="B956" s="1"/>
      <c r="C956" s="63"/>
      <c r="D956" s="10"/>
      <c r="E956" s="270"/>
      <c r="F956" s="267"/>
      <c r="G956" s="273"/>
      <c r="H956" s="283"/>
      <c r="I956" s="290"/>
    </row>
    <row r="957" spans="1:9">
      <c r="A957" s="1"/>
      <c r="B957" s="1"/>
      <c r="C957" s="63"/>
      <c r="D957" s="10"/>
      <c r="E957" s="270"/>
      <c r="F957" s="267"/>
      <c r="G957" s="273"/>
      <c r="H957" s="283"/>
      <c r="I957" s="290"/>
    </row>
    <row r="958" spans="1:9">
      <c r="A958" s="1"/>
      <c r="B958" s="1"/>
      <c r="C958" s="63"/>
      <c r="D958" s="10"/>
      <c r="E958" s="270"/>
      <c r="F958" s="267"/>
      <c r="G958" s="273"/>
      <c r="H958" s="283"/>
      <c r="I958" s="290"/>
    </row>
    <row r="959" spans="1:9">
      <c r="A959" s="1"/>
      <c r="B959" s="1"/>
      <c r="C959" s="63"/>
      <c r="D959" s="10"/>
      <c r="E959" s="270"/>
      <c r="F959" s="267"/>
      <c r="G959" s="273"/>
      <c r="H959" s="283"/>
      <c r="I959" s="290"/>
    </row>
    <row r="960" spans="1:9">
      <c r="A960" s="1"/>
      <c r="B960" s="1"/>
      <c r="C960" s="63"/>
      <c r="D960" s="10"/>
    </row>
  </sheetData>
  <mergeCells count="2">
    <mergeCell ref="H12:I12"/>
    <mergeCell ref="C9:D9"/>
  </mergeCells>
  <printOptions horizontalCentered="1"/>
  <pageMargins left="0.23622047244094491" right="0.23622047244094491" top="0.23622047244094491" bottom="0.23622047244094491" header="0" footer="0"/>
  <pageSetup paperSize="9" scale="61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linkedCell="C11" r:id="rId5">
            <anchor moveWithCells="1">
              <from>
                <xdr:col>1</xdr:col>
                <xdr:colOff>819150</xdr:colOff>
                <xdr:row>10</xdr:row>
                <xdr:rowOff>76200</xdr:rowOff>
              </from>
              <to>
                <xdr:col>3</xdr:col>
                <xdr:colOff>3257550</xdr:colOff>
                <xdr:row>11</xdr:row>
                <xdr:rowOff>161925</xdr:rowOff>
              </to>
            </anchor>
          </controlPr>
        </control>
      </mc:Choice>
      <mc:Fallback>
        <control shapeId="2049" r:id="rId4" name="TextBox1"/>
      </mc:Fallback>
    </mc:AlternateContent>
    <mc:AlternateContent xmlns:mc="http://schemas.openxmlformats.org/markup-compatibility/2006">
      <mc:Choice Requires="x14">
        <control shapeId="2051" r:id="rId6" name="Option Button 3">
          <controlPr defaultSize="0" autoFill="0" autoLine="0" autoPict="0">
            <anchor moveWithCells="1">
              <from>
                <xdr:col>4</xdr:col>
                <xdr:colOff>104775</xdr:colOff>
                <xdr:row>10</xdr:row>
                <xdr:rowOff>66675</xdr:rowOff>
              </from>
              <to>
                <xdr:col>4</xdr:col>
                <xdr:colOff>619125</xdr:colOff>
                <xdr:row>11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7" name="Option Button 4">
          <controlPr defaultSize="0" autoFill="0" autoLine="0" autoPict="0">
            <anchor moveWithCells="1">
              <from>
                <xdr:col>4</xdr:col>
                <xdr:colOff>952500</xdr:colOff>
                <xdr:row>10</xdr:row>
                <xdr:rowOff>76200</xdr:rowOff>
              </from>
              <to>
                <xdr:col>5</xdr:col>
                <xdr:colOff>704850</xdr:colOff>
                <xdr:row>11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8" name="Option Button 5">
          <controlPr defaultSize="0" autoFill="0" autoLine="0" autoPict="0">
            <anchor moveWithCells="1">
              <from>
                <xdr:col>6</xdr:col>
                <xdr:colOff>57150</xdr:colOff>
                <xdr:row>10</xdr:row>
                <xdr:rowOff>57150</xdr:rowOff>
              </from>
              <to>
                <xdr:col>6</xdr:col>
                <xdr:colOff>514350</xdr:colOff>
                <xdr:row>11</xdr:row>
                <xdr:rowOff>133350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E-48B2-4534-8432-5B5956853BD5}">
  <sheetPr codeName="Hoja3"/>
  <dimension ref="A1:I370"/>
  <sheetViews>
    <sheetView zoomScaleNormal="100" workbookViewId="0">
      <pane ySplit="1" topLeftCell="A2" activePane="bottomLeft" state="frozen"/>
      <selection pane="bottomLeft" activeCell="J14" sqref="J14"/>
    </sheetView>
  </sheetViews>
  <sheetFormatPr baseColWidth="10" defaultRowHeight="15"/>
  <cols>
    <col min="1" max="1" width="19.28515625" bestFit="1" customWidth="1"/>
    <col min="2" max="2" width="40.7109375" customWidth="1"/>
    <col min="3" max="3" width="14.28515625" bestFit="1" customWidth="1"/>
    <col min="4" max="4" width="13.140625" bestFit="1" customWidth="1"/>
    <col min="5" max="5" width="16.42578125" bestFit="1" customWidth="1"/>
    <col min="6" max="6" width="13.28515625" bestFit="1" customWidth="1"/>
    <col min="7" max="7" width="14.7109375" bestFit="1" customWidth="1"/>
    <col min="8" max="8" width="20.5703125" customWidth="1"/>
    <col min="9" max="9" width="23.85546875" style="256" customWidth="1"/>
    <col min="10" max="10" width="19" bestFit="1" customWidth="1"/>
    <col min="11" max="11" width="23.85546875" bestFit="1" customWidth="1"/>
  </cols>
  <sheetData>
    <row r="1" spans="1:9" ht="15.75">
      <c r="A1" s="62" t="s">
        <v>56</v>
      </c>
      <c r="B1" s="62" t="s">
        <v>57</v>
      </c>
      <c r="C1" s="62" t="s">
        <v>58</v>
      </c>
      <c r="D1" s="62" t="s">
        <v>59</v>
      </c>
      <c r="E1" s="62" t="s">
        <v>60</v>
      </c>
      <c r="F1" s="62" t="s">
        <v>61</v>
      </c>
      <c r="G1" s="62" t="s">
        <v>62</v>
      </c>
      <c r="H1" s="62" t="s">
        <v>63</v>
      </c>
      <c r="I1"/>
    </row>
    <row r="2" spans="1:9" ht="22.5">
      <c r="A2" s="259" t="s">
        <v>351</v>
      </c>
      <c r="B2" s="296" t="s">
        <v>352</v>
      </c>
      <c r="C2" s="260" t="s">
        <v>353</v>
      </c>
      <c r="D2" s="261">
        <v>45062.746863807872</v>
      </c>
      <c r="E2" s="258">
        <v>3</v>
      </c>
      <c r="F2" s="257">
        <v>87331.8</v>
      </c>
      <c r="G2" s="257">
        <v>261995.4</v>
      </c>
      <c r="H2" s="253">
        <v>3.6834294220803199E-2</v>
      </c>
      <c r="I2" s="253"/>
    </row>
    <row r="3" spans="1:9" ht="15" customHeight="1">
      <c r="A3" s="295"/>
      <c r="B3" s="296"/>
      <c r="C3" s="295"/>
      <c r="D3" s="295"/>
      <c r="E3" s="295"/>
      <c r="F3" s="295"/>
      <c r="G3" s="295"/>
      <c r="H3" s="295"/>
      <c r="I3"/>
    </row>
    <row r="4" spans="1:9">
      <c r="A4" s="295"/>
      <c r="B4" s="296"/>
      <c r="C4" s="295"/>
      <c r="D4" s="295"/>
      <c r="E4" s="295"/>
      <c r="F4" s="295"/>
      <c r="G4" s="295"/>
      <c r="H4" s="295"/>
      <c r="I4"/>
    </row>
    <row r="5" spans="1:9" ht="15" customHeight="1">
      <c r="A5" s="259" t="s">
        <v>354</v>
      </c>
      <c r="B5" s="296" t="s">
        <v>355</v>
      </c>
      <c r="C5" s="260" t="s">
        <v>353</v>
      </c>
      <c r="D5" s="261">
        <v>44810</v>
      </c>
      <c r="E5" s="258">
        <v>123.373114</v>
      </c>
      <c r="F5" s="257">
        <v>8.02</v>
      </c>
      <c r="G5" s="257">
        <v>989.45</v>
      </c>
      <c r="H5" s="253">
        <v>1.3910813860386001E-4</v>
      </c>
      <c r="I5" s="253"/>
    </row>
    <row r="6" spans="1:9">
      <c r="A6" s="295"/>
      <c r="B6" s="296"/>
      <c r="C6" s="295"/>
      <c r="D6" s="295"/>
      <c r="E6" s="295"/>
      <c r="F6" s="295"/>
      <c r="G6" s="295"/>
      <c r="H6" s="295"/>
      <c r="I6"/>
    </row>
    <row r="7" spans="1:9" ht="15" customHeight="1">
      <c r="A7" s="259" t="s">
        <v>356</v>
      </c>
      <c r="B7" s="296" t="s">
        <v>357</v>
      </c>
      <c r="C7" s="260" t="s">
        <v>353</v>
      </c>
      <c r="D7" s="261">
        <v>44811</v>
      </c>
      <c r="E7" s="258">
        <v>2189.3271549999999</v>
      </c>
      <c r="F7" s="257">
        <v>6.53</v>
      </c>
      <c r="G7" s="257">
        <v>14296.31</v>
      </c>
      <c r="H7" s="253">
        <v>2.00993791803906E-3</v>
      </c>
      <c r="I7" s="253"/>
    </row>
    <row r="8" spans="1:9">
      <c r="A8" s="295"/>
      <c r="B8" s="296"/>
      <c r="C8" s="295"/>
      <c r="D8" s="295"/>
      <c r="E8" s="295"/>
      <c r="F8" s="295"/>
      <c r="G8" s="295"/>
      <c r="H8" s="295"/>
      <c r="I8"/>
    </row>
    <row r="9" spans="1:9" ht="15" customHeight="1">
      <c r="A9" s="259" t="s">
        <v>358</v>
      </c>
      <c r="B9" s="296" t="s">
        <v>359</v>
      </c>
      <c r="C9" s="260" t="s">
        <v>353</v>
      </c>
      <c r="D9" s="261">
        <v>45056.521048414354</v>
      </c>
      <c r="E9" s="258">
        <v>334.23871424999999</v>
      </c>
      <c r="F9" s="257">
        <v>8.52</v>
      </c>
      <c r="G9" s="257">
        <v>2847.71</v>
      </c>
      <c r="H9" s="253">
        <v>4.0036347201333802E-4</v>
      </c>
      <c r="I9" s="253"/>
    </row>
    <row r="10" spans="1:9">
      <c r="A10" s="295"/>
      <c r="B10" s="296"/>
      <c r="C10" s="295"/>
      <c r="D10" s="295"/>
      <c r="E10" s="295"/>
      <c r="F10" s="295"/>
      <c r="G10" s="295"/>
      <c r="H10" s="295"/>
      <c r="I10"/>
    </row>
    <row r="11" spans="1:9" ht="15" customHeight="1">
      <c r="A11" s="259" t="s">
        <v>360</v>
      </c>
      <c r="B11" s="296" t="s">
        <v>361</v>
      </c>
      <c r="C11" s="260" t="s">
        <v>353</v>
      </c>
      <c r="D11" s="261">
        <v>44810</v>
      </c>
      <c r="E11" s="258">
        <v>208.01601500000001</v>
      </c>
      <c r="F11" s="257">
        <v>8.43</v>
      </c>
      <c r="G11" s="257">
        <v>1753.58</v>
      </c>
      <c r="H11" s="253">
        <v>2.4653822799833899E-4</v>
      </c>
      <c r="I11" s="253"/>
    </row>
    <row r="12" spans="1:9">
      <c r="A12" s="295"/>
      <c r="B12" s="296"/>
      <c r="C12" s="295"/>
      <c r="D12" s="295"/>
      <c r="E12" s="295"/>
      <c r="F12" s="295"/>
      <c r="G12" s="295"/>
      <c r="H12" s="295"/>
      <c r="I12"/>
    </row>
    <row r="13" spans="1:9" ht="15" customHeight="1">
      <c r="A13" s="259" t="s">
        <v>362</v>
      </c>
      <c r="B13" s="296" t="s">
        <v>363</v>
      </c>
      <c r="C13" s="260" t="s">
        <v>353</v>
      </c>
      <c r="D13" s="261">
        <v>44810.684956909725</v>
      </c>
      <c r="E13" s="258">
        <v>371.55469199999999</v>
      </c>
      <c r="F13" s="257">
        <v>7.16</v>
      </c>
      <c r="G13" s="257">
        <v>2660.33</v>
      </c>
      <c r="H13" s="253">
        <v>3.7401945967154102E-4</v>
      </c>
      <c r="I13" s="253"/>
    </row>
    <row r="14" spans="1:9">
      <c r="A14" s="295"/>
      <c r="B14" s="296"/>
      <c r="C14" s="295"/>
      <c r="D14" s="295"/>
      <c r="E14" s="295"/>
      <c r="F14" s="295"/>
      <c r="G14" s="295"/>
      <c r="H14" s="295"/>
      <c r="I14"/>
    </row>
    <row r="15" spans="1:9" ht="15" customHeight="1">
      <c r="A15" s="259" t="s">
        <v>364</v>
      </c>
      <c r="B15" s="296" t="s">
        <v>365</v>
      </c>
      <c r="C15" s="260" t="s">
        <v>353</v>
      </c>
      <c r="D15" s="261">
        <v>45176.463064930555</v>
      </c>
      <c r="E15" s="258">
        <v>182.01157380000001</v>
      </c>
      <c r="F15" s="257">
        <v>9.11</v>
      </c>
      <c r="G15" s="257">
        <v>1658.13</v>
      </c>
      <c r="H15" s="253">
        <v>2.3311878100279801E-4</v>
      </c>
      <c r="I15" s="253"/>
    </row>
    <row r="16" spans="1:9">
      <c r="A16" s="295"/>
      <c r="B16" s="296"/>
      <c r="C16" s="295"/>
      <c r="D16" s="295"/>
      <c r="E16" s="295"/>
      <c r="F16" s="295"/>
      <c r="G16" s="295"/>
      <c r="H16" s="295"/>
      <c r="I16"/>
    </row>
    <row r="17" spans="1:9" ht="15" customHeight="1">
      <c r="A17" s="259" t="s">
        <v>366</v>
      </c>
      <c r="B17" s="296" t="s">
        <v>367</v>
      </c>
      <c r="C17" s="260" t="s">
        <v>353</v>
      </c>
      <c r="D17" s="261">
        <v>45125.733871145836</v>
      </c>
      <c r="E17" s="258">
        <v>231.49962450999999</v>
      </c>
      <c r="F17" s="257">
        <v>6.5</v>
      </c>
      <c r="G17" s="257">
        <v>1504.75</v>
      </c>
      <c r="H17" s="253">
        <v>2.1155487550069001E-4</v>
      </c>
      <c r="I17" s="253"/>
    </row>
    <row r="18" spans="1:9">
      <c r="A18" s="295"/>
      <c r="B18" s="296"/>
      <c r="C18" s="295"/>
      <c r="D18" s="295"/>
      <c r="E18" s="295"/>
      <c r="F18" s="295"/>
      <c r="G18" s="295"/>
      <c r="H18" s="295"/>
      <c r="I18"/>
    </row>
    <row r="19" spans="1:9">
      <c r="A19" s="259" t="s">
        <v>368</v>
      </c>
      <c r="B19" s="296" t="s">
        <v>369</v>
      </c>
      <c r="C19" s="260" t="s">
        <v>353</v>
      </c>
      <c r="D19" s="261">
        <v>45183.631965509259</v>
      </c>
      <c r="E19" s="258">
        <v>8.1212040000000005</v>
      </c>
      <c r="F19" s="257">
        <v>16.829999999999998</v>
      </c>
      <c r="G19" s="257">
        <v>136.68</v>
      </c>
      <c r="H19" s="253">
        <v>1.92160294955536E-5</v>
      </c>
      <c r="I19" s="253"/>
    </row>
    <row r="20" spans="1:9" ht="15" customHeight="1">
      <c r="A20" s="295"/>
      <c r="B20" s="296"/>
      <c r="C20" s="295"/>
      <c r="D20" s="295"/>
      <c r="E20" s="295"/>
      <c r="F20" s="295"/>
      <c r="G20" s="295"/>
      <c r="H20" s="295"/>
      <c r="I20"/>
    </row>
    <row r="21" spans="1:9">
      <c r="A21" s="259" t="s">
        <v>370</v>
      </c>
      <c r="B21" s="296" t="s">
        <v>371</v>
      </c>
      <c r="C21" s="260" t="s">
        <v>353</v>
      </c>
      <c r="D21" s="261">
        <v>44659</v>
      </c>
      <c r="E21" s="258">
        <v>63.554574299999999</v>
      </c>
      <c r="F21" s="257">
        <v>11.29</v>
      </c>
      <c r="G21" s="257">
        <v>717.53</v>
      </c>
      <c r="H21" s="253">
        <v>1.00878531196551E-4</v>
      </c>
      <c r="I21" s="253"/>
    </row>
    <row r="22" spans="1:9">
      <c r="A22" s="295"/>
      <c r="B22" s="296"/>
      <c r="C22" s="295"/>
      <c r="D22" s="295"/>
      <c r="E22" s="295"/>
      <c r="F22" s="295"/>
      <c r="G22" s="295"/>
      <c r="H22" s="295"/>
      <c r="I22"/>
    </row>
    <row r="23" spans="1:9" ht="15" customHeight="1">
      <c r="A23" s="259" t="s">
        <v>372</v>
      </c>
      <c r="B23" s="296" t="s">
        <v>373</v>
      </c>
      <c r="C23" s="260" t="s">
        <v>353</v>
      </c>
      <c r="D23" s="261">
        <v>45176.441175891203</v>
      </c>
      <c r="E23" s="258">
        <v>158.00001900000001</v>
      </c>
      <c r="F23" s="257">
        <v>18</v>
      </c>
      <c r="G23" s="257">
        <v>2844</v>
      </c>
      <c r="H23" s="253">
        <v>3.99841878002302E-4</v>
      </c>
      <c r="I23" s="253"/>
    </row>
    <row r="24" spans="1:9">
      <c r="A24" s="295"/>
      <c r="B24" s="296"/>
      <c r="C24" s="295"/>
      <c r="D24" s="295"/>
      <c r="E24" s="295"/>
      <c r="F24" s="295"/>
      <c r="G24" s="295"/>
      <c r="H24" s="295"/>
      <c r="I24"/>
    </row>
    <row r="25" spans="1:9">
      <c r="A25" s="259" t="s">
        <v>374</v>
      </c>
      <c r="B25" s="296" t="s">
        <v>375</v>
      </c>
      <c r="C25" s="260" t="s">
        <v>353</v>
      </c>
      <c r="D25" s="261">
        <v>45125.733726932871</v>
      </c>
      <c r="E25" s="258">
        <v>59.035738530000003</v>
      </c>
      <c r="F25" s="257">
        <v>6.5</v>
      </c>
      <c r="G25" s="257">
        <v>383.73</v>
      </c>
      <c r="H25" s="253">
        <v>5.3949129341006799E-5</v>
      </c>
      <c r="I25" s="253"/>
    </row>
    <row r="26" spans="1:9" ht="15" customHeight="1">
      <c r="A26" s="295"/>
      <c r="B26" s="296"/>
      <c r="C26" s="295"/>
      <c r="D26" s="295"/>
      <c r="E26" s="295"/>
      <c r="F26" s="295"/>
      <c r="G26" s="295"/>
      <c r="H26" s="295"/>
      <c r="I26"/>
    </row>
    <row r="27" spans="1:9">
      <c r="A27" s="259" t="s">
        <v>638</v>
      </c>
      <c r="B27" s="296" t="s">
        <v>639</v>
      </c>
      <c r="C27" s="260" t="s">
        <v>640</v>
      </c>
      <c r="D27" s="261">
        <v>45176.662106365744</v>
      </c>
      <c r="E27" s="258">
        <v>164133.76000000001</v>
      </c>
      <c r="F27" s="257">
        <v>1</v>
      </c>
      <c r="G27" s="257">
        <v>164133.76000000001</v>
      </c>
      <c r="H27" s="253">
        <v>2.3075791435295E-2</v>
      </c>
      <c r="I27" s="253"/>
    </row>
    <row r="28" spans="1:9" ht="15" customHeight="1">
      <c r="A28" s="259" t="s">
        <v>626</v>
      </c>
      <c r="B28" s="296" t="s">
        <v>627</v>
      </c>
      <c r="C28" s="260" t="s">
        <v>628</v>
      </c>
      <c r="D28" s="261">
        <v>45183.514130011572</v>
      </c>
      <c r="E28" s="258">
        <v>666.02745368000001</v>
      </c>
      <c r="F28" s="257">
        <v>540</v>
      </c>
      <c r="G28" s="257">
        <v>359654.82</v>
      </c>
      <c r="H28" s="253">
        <v>5.0564366617925398E-2</v>
      </c>
      <c r="I28"/>
    </row>
    <row r="29" spans="1:9">
      <c r="A29" s="259" t="s">
        <v>629</v>
      </c>
      <c r="B29" s="296" t="s">
        <v>630</v>
      </c>
      <c r="C29" s="260" t="s">
        <v>628</v>
      </c>
      <c r="D29" s="261">
        <v>45068.517066319444</v>
      </c>
      <c r="E29" s="258">
        <v>4.7619050000000003E-2</v>
      </c>
      <c r="F29" s="257">
        <v>583.34</v>
      </c>
      <c r="G29" s="257">
        <v>27.78</v>
      </c>
      <c r="H29" s="253">
        <v>3.9056284707819796E-6</v>
      </c>
      <c r="I29"/>
    </row>
    <row r="30" spans="1:9" ht="45">
      <c r="A30" s="259" t="s">
        <v>376</v>
      </c>
      <c r="B30" s="296" t="s">
        <v>377</v>
      </c>
      <c r="C30" s="260" t="s">
        <v>353</v>
      </c>
      <c r="D30" s="261">
        <v>45145</v>
      </c>
      <c r="E30" s="258">
        <v>3</v>
      </c>
      <c r="F30" s="257">
        <v>5544</v>
      </c>
      <c r="G30" s="257">
        <v>16632</v>
      </c>
      <c r="H30" s="253">
        <v>2.3383157928742199E-3</v>
      </c>
      <c r="I30"/>
    </row>
    <row r="31" spans="1:9">
      <c r="A31" s="295"/>
      <c r="B31" s="296"/>
      <c r="C31" s="295"/>
      <c r="D31" s="295"/>
      <c r="E31" s="295"/>
      <c r="F31" s="295"/>
      <c r="G31" s="295"/>
      <c r="H31" s="295"/>
      <c r="I31"/>
    </row>
    <row r="32" spans="1:9">
      <c r="A32" s="295"/>
      <c r="B32" s="296"/>
      <c r="C32" s="295"/>
      <c r="D32" s="295"/>
      <c r="E32" s="295"/>
      <c r="F32" s="295"/>
      <c r="G32" s="295"/>
      <c r="H32" s="295"/>
      <c r="I32"/>
    </row>
    <row r="33" spans="1:9" ht="15" customHeight="1">
      <c r="A33" s="295"/>
      <c r="B33" s="296"/>
      <c r="C33" s="295"/>
      <c r="D33" s="295"/>
      <c r="E33" s="295"/>
      <c r="F33" s="295"/>
      <c r="G33" s="295"/>
      <c r="H33" s="295"/>
      <c r="I33" s="253"/>
    </row>
    <row r="34" spans="1:9">
      <c r="A34" s="295"/>
      <c r="B34" s="296"/>
      <c r="C34" s="295"/>
      <c r="D34" s="295"/>
      <c r="E34" s="295"/>
      <c r="F34" s="295"/>
      <c r="G34" s="295"/>
      <c r="H34" s="295"/>
      <c r="I34"/>
    </row>
    <row r="35" spans="1:9">
      <c r="A35" s="295"/>
      <c r="B35" s="296"/>
      <c r="C35" s="295"/>
      <c r="D35" s="295"/>
      <c r="E35" s="295"/>
      <c r="F35" s="295"/>
      <c r="G35" s="295"/>
      <c r="H35" s="295"/>
      <c r="I35" s="253"/>
    </row>
    <row r="36" spans="1:9" ht="15" customHeight="1">
      <c r="A36" s="259" t="s">
        <v>378</v>
      </c>
      <c r="B36" s="296" t="s">
        <v>379</v>
      </c>
      <c r="C36" s="260" t="s">
        <v>380</v>
      </c>
      <c r="D36" s="261">
        <v>45026.56323900463</v>
      </c>
      <c r="E36" s="258">
        <v>665.28</v>
      </c>
      <c r="F36" s="257">
        <v>7.28</v>
      </c>
      <c r="G36" s="257">
        <v>4843.24</v>
      </c>
      <c r="H36" s="253">
        <v>6.8091778383117701E-4</v>
      </c>
      <c r="I36"/>
    </row>
    <row r="37" spans="1:9">
      <c r="A37" s="295"/>
      <c r="B37" s="296"/>
      <c r="C37" s="295"/>
      <c r="D37" s="295"/>
      <c r="E37" s="295"/>
      <c r="F37" s="295"/>
      <c r="G37" s="295"/>
      <c r="H37" s="295"/>
      <c r="I37" s="253"/>
    </row>
    <row r="38" spans="1:9" ht="15" customHeight="1">
      <c r="A38" s="259" t="s">
        <v>381</v>
      </c>
      <c r="B38" s="296" t="s">
        <v>382</v>
      </c>
      <c r="C38" s="260" t="s">
        <v>383</v>
      </c>
      <c r="D38" s="261">
        <v>45629.575278009259</v>
      </c>
      <c r="E38" s="258">
        <v>61.8</v>
      </c>
      <c r="F38" s="257">
        <v>314.07</v>
      </c>
      <c r="G38" s="257">
        <v>19409.53</v>
      </c>
      <c r="H38" s="253">
        <v>2.7288125620049302E-3</v>
      </c>
      <c r="I38"/>
    </row>
    <row r="39" spans="1:9">
      <c r="A39" s="295"/>
      <c r="B39" s="296"/>
      <c r="C39" s="295"/>
      <c r="D39" s="295"/>
      <c r="E39" s="295"/>
      <c r="F39" s="295"/>
      <c r="G39" s="295"/>
      <c r="H39" s="295"/>
      <c r="I39"/>
    </row>
    <row r="40" spans="1:9" ht="15" customHeight="1">
      <c r="A40" s="259" t="s">
        <v>384</v>
      </c>
      <c r="B40" s="296" t="s">
        <v>385</v>
      </c>
      <c r="C40" s="260" t="s">
        <v>383</v>
      </c>
      <c r="D40" s="261">
        <v>45629.508375081015</v>
      </c>
      <c r="E40" s="258">
        <v>4028.2354078899998</v>
      </c>
      <c r="F40" s="257">
        <v>42.76</v>
      </c>
      <c r="G40" s="257">
        <v>172247.35</v>
      </c>
      <c r="H40" s="253">
        <v>2.4216492230984401E-2</v>
      </c>
      <c r="I40" s="253"/>
    </row>
    <row r="41" spans="1:9">
      <c r="A41" s="295"/>
      <c r="B41" s="296"/>
      <c r="C41" s="295"/>
      <c r="D41" s="295"/>
      <c r="E41" s="295"/>
      <c r="F41" s="295"/>
      <c r="G41" s="295"/>
      <c r="H41" s="295"/>
      <c r="I41"/>
    </row>
    <row r="42" spans="1:9">
      <c r="A42" s="295"/>
      <c r="B42" s="296"/>
      <c r="C42" s="295"/>
      <c r="D42" s="295"/>
      <c r="E42" s="295"/>
      <c r="F42" s="295"/>
      <c r="G42" s="295"/>
      <c r="H42" s="295"/>
      <c r="I42"/>
    </row>
    <row r="43" spans="1:9" ht="15" customHeight="1">
      <c r="A43" s="259" t="s">
        <v>386</v>
      </c>
      <c r="B43" s="296" t="s">
        <v>387</v>
      </c>
      <c r="C43" s="260" t="s">
        <v>383</v>
      </c>
      <c r="D43" s="261">
        <v>45629.510668750001</v>
      </c>
      <c r="E43" s="258">
        <v>556.20000000000005</v>
      </c>
      <c r="F43" s="257">
        <v>159.81</v>
      </c>
      <c r="G43" s="257">
        <v>88886.32</v>
      </c>
      <c r="H43" s="253">
        <v>1.2496650181966801E-2</v>
      </c>
      <c r="I43" s="253"/>
    </row>
    <row r="44" spans="1:9">
      <c r="A44" s="295"/>
      <c r="B44" s="296"/>
      <c r="C44" s="295"/>
      <c r="D44" s="295"/>
      <c r="E44" s="295"/>
      <c r="F44" s="295"/>
      <c r="G44" s="295"/>
      <c r="H44" s="295"/>
      <c r="I44"/>
    </row>
    <row r="45" spans="1:9">
      <c r="A45" s="295"/>
      <c r="B45" s="296"/>
      <c r="C45" s="295"/>
      <c r="D45" s="295"/>
      <c r="E45" s="295"/>
      <c r="F45" s="295"/>
      <c r="G45" s="295"/>
      <c r="H45" s="295"/>
      <c r="I45"/>
    </row>
    <row r="46" spans="1:9" ht="15" customHeight="1">
      <c r="A46" s="259" t="s">
        <v>388</v>
      </c>
      <c r="B46" s="296" t="s">
        <v>389</v>
      </c>
      <c r="C46" s="260" t="s">
        <v>383</v>
      </c>
      <c r="D46" s="261">
        <v>45182.549017395831</v>
      </c>
      <c r="E46" s="258">
        <v>15233.619235640001</v>
      </c>
      <c r="F46" s="257">
        <v>11.53</v>
      </c>
      <c r="G46" s="257">
        <v>175643.63</v>
      </c>
      <c r="H46" s="253">
        <v>2.4693979915028599E-2</v>
      </c>
      <c r="I46" s="253"/>
    </row>
    <row r="47" spans="1:9">
      <c r="A47" s="295"/>
      <c r="B47" s="296"/>
      <c r="C47" s="295"/>
      <c r="D47" s="295"/>
      <c r="E47" s="295"/>
      <c r="F47" s="295"/>
      <c r="G47" s="295"/>
      <c r="H47" s="295"/>
      <c r="I47"/>
    </row>
    <row r="48" spans="1:9">
      <c r="A48" s="295"/>
      <c r="B48" s="296"/>
      <c r="C48" s="295"/>
      <c r="D48" s="295"/>
      <c r="E48" s="295"/>
      <c r="F48" s="295"/>
      <c r="G48" s="295"/>
      <c r="H48" s="295"/>
      <c r="I48"/>
    </row>
    <row r="49" spans="1:9" ht="15" customHeight="1">
      <c r="A49" s="259" t="s">
        <v>390</v>
      </c>
      <c r="B49" s="296" t="s">
        <v>391</v>
      </c>
      <c r="C49" s="260" t="s">
        <v>383</v>
      </c>
      <c r="D49" s="261">
        <v>45629.511475231484</v>
      </c>
      <c r="E49" s="258">
        <v>4042.8526364099998</v>
      </c>
      <c r="F49" s="257">
        <v>8.99</v>
      </c>
      <c r="G49" s="257">
        <v>36345.25</v>
      </c>
      <c r="H49" s="253">
        <v>5.1098287680953402E-3</v>
      </c>
      <c r="I49" s="253"/>
    </row>
    <row r="50" spans="1:9">
      <c r="A50" s="295"/>
      <c r="B50" s="296"/>
      <c r="C50" s="295"/>
      <c r="D50" s="295"/>
      <c r="E50" s="295"/>
      <c r="F50" s="295"/>
      <c r="G50" s="295"/>
      <c r="H50" s="295"/>
      <c r="I50"/>
    </row>
    <row r="51" spans="1:9">
      <c r="A51" s="295"/>
      <c r="B51" s="296"/>
      <c r="C51" s="295"/>
      <c r="D51" s="295"/>
      <c r="E51" s="295"/>
      <c r="F51" s="295"/>
      <c r="G51" s="295"/>
      <c r="H51" s="295"/>
      <c r="I51" s="253"/>
    </row>
    <row r="52" spans="1:9" ht="15" customHeight="1">
      <c r="A52" s="259" t="s">
        <v>392</v>
      </c>
      <c r="B52" s="296" t="s">
        <v>393</v>
      </c>
      <c r="C52" s="260" t="s">
        <v>383</v>
      </c>
      <c r="D52" s="261">
        <v>45629.516249918983</v>
      </c>
      <c r="E52" s="258">
        <v>164.8</v>
      </c>
      <c r="F52" s="257">
        <v>100.52</v>
      </c>
      <c r="G52" s="257">
        <v>16565.7</v>
      </c>
      <c r="H52" s="253">
        <v>2.32899458453682E-3</v>
      </c>
      <c r="I52"/>
    </row>
    <row r="53" spans="1:9">
      <c r="A53" s="295"/>
      <c r="B53" s="296"/>
      <c r="C53" s="295"/>
      <c r="D53" s="295"/>
      <c r="E53" s="295"/>
      <c r="F53" s="295"/>
      <c r="G53" s="295"/>
      <c r="H53" s="295"/>
      <c r="I53"/>
    </row>
    <row r="54" spans="1:9" ht="22.5">
      <c r="A54" s="259" t="s">
        <v>394</v>
      </c>
      <c r="B54" s="296" t="s">
        <v>395</v>
      </c>
      <c r="C54" s="260" t="s">
        <v>383</v>
      </c>
      <c r="D54" s="261">
        <v>45629.516042280091</v>
      </c>
      <c r="E54" s="258">
        <v>3151.0957323500002</v>
      </c>
      <c r="F54" s="257">
        <v>64.23</v>
      </c>
      <c r="G54" s="257">
        <v>202394.88</v>
      </c>
      <c r="H54" s="253">
        <v>2.84549750060656E-2</v>
      </c>
      <c r="I54" s="253"/>
    </row>
    <row r="55" spans="1:9" ht="15" customHeight="1">
      <c r="A55" s="295"/>
      <c r="B55" s="296"/>
      <c r="C55" s="295"/>
      <c r="D55" s="295"/>
      <c r="E55" s="295"/>
      <c r="F55" s="295"/>
      <c r="G55" s="295"/>
      <c r="H55" s="295"/>
      <c r="I55"/>
    </row>
    <row r="56" spans="1:9">
      <c r="A56" s="295"/>
      <c r="B56" s="296"/>
      <c r="C56" s="295"/>
      <c r="D56" s="295"/>
      <c r="E56" s="295"/>
      <c r="F56" s="295"/>
      <c r="G56" s="295"/>
      <c r="H56" s="295"/>
      <c r="I56"/>
    </row>
    <row r="57" spans="1:9" ht="22.5">
      <c r="A57" s="259" t="s">
        <v>396</v>
      </c>
      <c r="B57" s="296" t="s">
        <v>397</v>
      </c>
      <c r="C57" s="260" t="s">
        <v>383</v>
      </c>
      <c r="D57" s="261">
        <v>45629.509903437502</v>
      </c>
      <c r="E57" s="258">
        <v>1867.6501656400001</v>
      </c>
      <c r="F57" s="257">
        <v>22.87</v>
      </c>
      <c r="G57" s="257">
        <v>42713.16</v>
      </c>
      <c r="H57" s="253">
        <v>6.0051020076697598E-3</v>
      </c>
      <c r="I57" s="253"/>
    </row>
    <row r="58" spans="1:9" ht="15" customHeight="1">
      <c r="A58" s="295"/>
      <c r="B58" s="296"/>
      <c r="C58" s="295"/>
      <c r="D58" s="295"/>
      <c r="E58" s="295"/>
      <c r="F58" s="295"/>
      <c r="G58" s="295"/>
      <c r="H58" s="295"/>
      <c r="I58"/>
    </row>
    <row r="59" spans="1:9">
      <c r="A59" s="295"/>
      <c r="B59" s="296"/>
      <c r="C59" s="295"/>
      <c r="D59" s="295"/>
      <c r="E59" s="295"/>
      <c r="F59" s="295"/>
      <c r="G59" s="295"/>
      <c r="H59" s="295"/>
      <c r="I59" s="253"/>
    </row>
    <row r="60" spans="1:9">
      <c r="A60" s="259" t="s">
        <v>398</v>
      </c>
      <c r="B60" s="296" t="s">
        <v>399</v>
      </c>
      <c r="C60" s="260" t="s">
        <v>353</v>
      </c>
      <c r="D60" s="261">
        <v>45629.506441585647</v>
      </c>
      <c r="E60" s="258">
        <v>699.3</v>
      </c>
      <c r="F60" s="257">
        <v>72.14</v>
      </c>
      <c r="G60" s="257">
        <v>50447.5</v>
      </c>
      <c r="H60" s="253">
        <v>7.0924835233899799E-3</v>
      </c>
      <c r="I60"/>
    </row>
    <row r="61" spans="1:9" ht="15" customHeight="1">
      <c r="A61" s="295"/>
      <c r="B61" s="296"/>
      <c r="C61" s="295"/>
      <c r="D61" s="295"/>
      <c r="E61" s="295"/>
      <c r="F61" s="295"/>
      <c r="G61" s="295"/>
      <c r="H61" s="295"/>
      <c r="I61" s="253"/>
    </row>
    <row r="62" spans="1:9">
      <c r="A62" s="259" t="s">
        <v>641</v>
      </c>
      <c r="B62" s="296" t="s">
        <v>642</v>
      </c>
      <c r="C62" s="260" t="s">
        <v>628</v>
      </c>
      <c r="D62" s="261">
        <v>44963.869286342589</v>
      </c>
      <c r="E62" s="258">
        <v>20.100000000000001</v>
      </c>
      <c r="F62" s="257">
        <v>1</v>
      </c>
      <c r="G62" s="257">
        <v>20.100000000000001</v>
      </c>
      <c r="H62" s="253">
        <v>2.8258866905226E-6</v>
      </c>
      <c r="I62"/>
    </row>
    <row r="63" spans="1:9">
      <c r="A63" s="259" t="s">
        <v>643</v>
      </c>
      <c r="B63" s="296" t="s">
        <v>166</v>
      </c>
      <c r="C63" s="260" t="s">
        <v>644</v>
      </c>
      <c r="D63" s="261">
        <v>45136.736109837962</v>
      </c>
      <c r="E63" s="258">
        <v>85035.18</v>
      </c>
      <c r="F63" s="257">
        <v>1</v>
      </c>
      <c r="G63" s="257">
        <v>85035.18</v>
      </c>
      <c r="H63" s="253">
        <v>1.19552131038902E-2</v>
      </c>
      <c r="I63" s="253"/>
    </row>
    <row r="64" spans="1:9" ht="15" customHeight="1">
      <c r="A64" s="259" t="s">
        <v>645</v>
      </c>
      <c r="B64" s="296" t="s">
        <v>646</v>
      </c>
      <c r="C64" s="260" t="s">
        <v>640</v>
      </c>
      <c r="D64" s="261">
        <v>45063.718842245369</v>
      </c>
      <c r="E64" s="258">
        <v>48.58</v>
      </c>
      <c r="F64" s="257">
        <v>1</v>
      </c>
      <c r="G64" s="257">
        <v>48.58</v>
      </c>
      <c r="H64" s="253">
        <v>6.8299291256511296E-6</v>
      </c>
      <c r="I64"/>
    </row>
    <row r="65" spans="1:9" ht="22.5">
      <c r="A65" s="259" t="s">
        <v>400</v>
      </c>
      <c r="B65" s="296" t="s">
        <v>401</v>
      </c>
      <c r="C65" s="260" t="s">
        <v>353</v>
      </c>
      <c r="D65" s="261">
        <v>45629.523202118056</v>
      </c>
      <c r="E65" s="258">
        <v>155.33540300000001</v>
      </c>
      <c r="F65" s="257">
        <v>25</v>
      </c>
      <c r="G65" s="257">
        <v>3883.39</v>
      </c>
      <c r="H65" s="253">
        <v>5.4597115000540005E-4</v>
      </c>
      <c r="I65" s="253"/>
    </row>
    <row r="66" spans="1:9">
      <c r="A66" s="295"/>
      <c r="B66" s="296"/>
      <c r="C66" s="295"/>
      <c r="D66" s="295"/>
      <c r="E66" s="295"/>
      <c r="F66" s="295"/>
      <c r="G66" s="295"/>
      <c r="H66" s="295"/>
      <c r="I66"/>
    </row>
    <row r="67" spans="1:9" ht="15" customHeight="1">
      <c r="A67" s="259" t="s">
        <v>402</v>
      </c>
      <c r="B67" s="296" t="s">
        <v>403</v>
      </c>
      <c r="C67" s="260" t="s">
        <v>353</v>
      </c>
      <c r="D67" s="261">
        <v>45182.734918368056</v>
      </c>
      <c r="E67" s="258">
        <v>44.539447000000003</v>
      </c>
      <c r="F67" s="257">
        <v>38</v>
      </c>
      <c r="G67" s="257">
        <v>1692.5</v>
      </c>
      <c r="H67" s="253">
        <v>2.3795090665221401E-4</v>
      </c>
      <c r="I67" s="253"/>
    </row>
    <row r="68" spans="1:9">
      <c r="A68" s="295"/>
      <c r="B68" s="296"/>
      <c r="C68" s="295"/>
      <c r="D68" s="295"/>
      <c r="E68" s="295"/>
      <c r="F68" s="295"/>
      <c r="G68" s="295"/>
      <c r="H68" s="295"/>
      <c r="I68"/>
    </row>
    <row r="69" spans="1:9">
      <c r="A69" s="259" t="s">
        <v>404</v>
      </c>
      <c r="B69" s="296" t="s">
        <v>405</v>
      </c>
      <c r="C69" s="260" t="s">
        <v>353</v>
      </c>
      <c r="D69" s="261">
        <v>45629.524197453706</v>
      </c>
      <c r="E69" s="258">
        <v>40.887456</v>
      </c>
      <c r="F69" s="257">
        <v>25</v>
      </c>
      <c r="G69" s="257">
        <v>1022.19</v>
      </c>
      <c r="H69" s="253">
        <v>1.43711100307726E-4</v>
      </c>
      <c r="I69" s="253"/>
    </row>
    <row r="70" spans="1:9">
      <c r="A70" s="295"/>
      <c r="B70" s="296"/>
      <c r="C70" s="295"/>
      <c r="D70" s="295"/>
      <c r="E70" s="295"/>
      <c r="F70" s="295"/>
      <c r="G70" s="295"/>
      <c r="H70" s="295"/>
      <c r="I70"/>
    </row>
    <row r="71" spans="1:9" ht="15" customHeight="1">
      <c r="A71" s="259" t="s">
        <v>406</v>
      </c>
      <c r="B71" s="296" t="s">
        <v>407</v>
      </c>
      <c r="C71" s="260" t="s">
        <v>353</v>
      </c>
      <c r="D71" s="261">
        <v>45629.523746678242</v>
      </c>
      <c r="E71" s="258">
        <v>73.500204999999994</v>
      </c>
      <c r="F71" s="257">
        <v>25</v>
      </c>
      <c r="G71" s="257">
        <v>1837.51</v>
      </c>
      <c r="H71" s="253">
        <v>2.5833806232349098E-4</v>
      </c>
      <c r="I71" s="253"/>
    </row>
    <row r="72" spans="1:9">
      <c r="A72" s="295"/>
      <c r="B72" s="296"/>
      <c r="C72" s="295"/>
      <c r="D72" s="295"/>
      <c r="E72" s="295"/>
      <c r="F72" s="295"/>
      <c r="G72" s="295"/>
      <c r="H72" s="295"/>
      <c r="I72"/>
    </row>
    <row r="73" spans="1:9" ht="15" customHeight="1">
      <c r="A73" s="259" t="s">
        <v>408</v>
      </c>
      <c r="B73" s="296" t="s">
        <v>409</v>
      </c>
      <c r="C73" s="260" t="s">
        <v>353</v>
      </c>
      <c r="D73" s="261">
        <v>45183.534997569448</v>
      </c>
      <c r="E73" s="258">
        <v>560.52404799999999</v>
      </c>
      <c r="F73" s="257">
        <v>8.52</v>
      </c>
      <c r="G73" s="257">
        <v>4775.66</v>
      </c>
      <c r="H73" s="253">
        <v>6.7141661853040505E-4</v>
      </c>
      <c r="I73" s="253"/>
    </row>
    <row r="74" spans="1:9">
      <c r="A74" s="295"/>
      <c r="B74" s="296"/>
      <c r="C74" s="295"/>
      <c r="D74" s="295"/>
      <c r="E74" s="295"/>
      <c r="F74" s="295"/>
      <c r="G74" s="295"/>
      <c r="H74" s="295"/>
      <c r="I74"/>
    </row>
    <row r="75" spans="1:9" ht="15" customHeight="1">
      <c r="A75" s="259" t="s">
        <v>410</v>
      </c>
      <c r="B75" s="296" t="s">
        <v>411</v>
      </c>
      <c r="C75" s="260" t="s">
        <v>353</v>
      </c>
      <c r="D75" s="261">
        <v>45183.499971331017</v>
      </c>
      <c r="E75" s="258">
        <v>74.460014279999996</v>
      </c>
      <c r="F75" s="257">
        <v>90.59</v>
      </c>
      <c r="G75" s="257">
        <v>6745.33</v>
      </c>
      <c r="H75" s="253">
        <v>9.4833523732252602E-4</v>
      </c>
      <c r="I75"/>
    </row>
    <row r="76" spans="1:9">
      <c r="A76" s="295"/>
      <c r="B76" s="296"/>
      <c r="C76" s="295"/>
      <c r="D76" s="295"/>
      <c r="E76" s="295"/>
      <c r="F76" s="295"/>
      <c r="G76" s="295"/>
      <c r="H76" s="295"/>
      <c r="I76" s="253"/>
    </row>
    <row r="77" spans="1:9" ht="15" customHeight="1">
      <c r="A77" s="259" t="s">
        <v>412</v>
      </c>
      <c r="B77" s="296" t="s">
        <v>413</v>
      </c>
      <c r="C77" s="260" t="s">
        <v>353</v>
      </c>
      <c r="D77" s="261">
        <v>45182</v>
      </c>
      <c r="E77" s="258">
        <v>127.484869</v>
      </c>
      <c r="F77" s="257">
        <v>20.66</v>
      </c>
      <c r="G77" s="257">
        <v>2633.84</v>
      </c>
      <c r="H77" s="253">
        <v>3.7029519407791198E-4</v>
      </c>
      <c r="I77"/>
    </row>
    <row r="78" spans="1:9">
      <c r="A78" s="295"/>
      <c r="B78" s="296"/>
      <c r="C78" s="295"/>
      <c r="D78" s="295"/>
      <c r="E78" s="295"/>
      <c r="F78" s="295"/>
      <c r="G78" s="295"/>
      <c r="H78" s="295"/>
      <c r="I78"/>
    </row>
    <row r="79" spans="1:9" ht="15" customHeight="1">
      <c r="A79" s="259" t="s">
        <v>416</v>
      </c>
      <c r="B79" s="296" t="s">
        <v>417</v>
      </c>
      <c r="C79" s="260" t="s">
        <v>353</v>
      </c>
      <c r="D79" s="261">
        <v>45629.524792974538</v>
      </c>
      <c r="E79" s="258">
        <v>106.240256</v>
      </c>
      <c r="F79" s="257">
        <v>82.76</v>
      </c>
      <c r="G79" s="257">
        <v>8792.44</v>
      </c>
      <c r="H79" s="253">
        <v>1.2361412523989299E-3</v>
      </c>
      <c r="I79" s="253"/>
    </row>
    <row r="80" spans="1:9">
      <c r="A80" s="295"/>
      <c r="B80" s="296"/>
      <c r="C80" s="295"/>
      <c r="D80" s="295"/>
      <c r="E80" s="295"/>
      <c r="F80" s="295"/>
      <c r="G80" s="295"/>
      <c r="H80" s="295"/>
      <c r="I80"/>
    </row>
    <row r="81" spans="1:9" ht="15" customHeight="1">
      <c r="A81" s="295"/>
      <c r="B81" s="296"/>
      <c r="C81" s="295"/>
      <c r="D81" s="295"/>
      <c r="E81" s="295"/>
      <c r="F81" s="295"/>
      <c r="G81" s="295"/>
      <c r="H81" s="295"/>
      <c r="I81" s="253"/>
    </row>
    <row r="82" spans="1:9" ht="22.5">
      <c r="A82" s="259" t="s">
        <v>414</v>
      </c>
      <c r="B82" s="296" t="s">
        <v>415</v>
      </c>
      <c r="C82" s="260" t="s">
        <v>353</v>
      </c>
      <c r="D82" s="261">
        <v>45183</v>
      </c>
      <c r="E82" s="258">
        <v>30</v>
      </c>
      <c r="F82" s="257">
        <v>74.040000000000006</v>
      </c>
      <c r="G82" s="257">
        <v>2221.1999999999998</v>
      </c>
      <c r="H82" s="253">
        <v>3.1228156800939199E-4</v>
      </c>
      <c r="I82"/>
    </row>
    <row r="83" spans="1:9">
      <c r="A83" s="295"/>
      <c r="B83" s="296"/>
      <c r="C83" s="295"/>
      <c r="D83" s="295"/>
      <c r="E83" s="295"/>
      <c r="F83" s="295"/>
      <c r="G83" s="295"/>
      <c r="H83" s="295"/>
      <c r="I83" s="253"/>
    </row>
    <row r="84" spans="1:9" ht="15" customHeight="1">
      <c r="A84" s="295"/>
      <c r="B84" s="296"/>
      <c r="C84" s="295"/>
      <c r="D84" s="295"/>
      <c r="E84" s="295"/>
      <c r="F84" s="295"/>
      <c r="G84" s="295"/>
      <c r="H84" s="295"/>
      <c r="I84"/>
    </row>
    <row r="85" spans="1:9">
      <c r="A85" s="259" t="s">
        <v>418</v>
      </c>
      <c r="B85" s="296" t="s">
        <v>419</v>
      </c>
      <c r="C85" s="260" t="s">
        <v>353</v>
      </c>
      <c r="D85" s="261">
        <v>45629.715543634258</v>
      </c>
      <c r="E85" s="258">
        <v>3</v>
      </c>
      <c r="F85" s="257">
        <v>10306.299999999999</v>
      </c>
      <c r="G85" s="257">
        <v>30918.9</v>
      </c>
      <c r="H85" s="253">
        <v>4.3469307460497096E-3</v>
      </c>
      <c r="I85" s="253"/>
    </row>
    <row r="86" spans="1:9" ht="15" customHeight="1">
      <c r="A86" s="295"/>
      <c r="B86" s="296"/>
      <c r="C86" s="295"/>
      <c r="D86" s="295"/>
      <c r="E86" s="295"/>
      <c r="F86" s="295"/>
      <c r="G86" s="295"/>
      <c r="H86" s="295"/>
      <c r="I86"/>
    </row>
    <row r="87" spans="1:9" ht="22.5">
      <c r="A87" s="259" t="s">
        <v>420</v>
      </c>
      <c r="B87" s="296" t="s">
        <v>421</v>
      </c>
      <c r="C87" s="260" t="s">
        <v>353</v>
      </c>
      <c r="D87" s="261">
        <v>45183.534487581019</v>
      </c>
      <c r="E87" s="258">
        <v>32.333162999999999</v>
      </c>
      <c r="F87" s="257">
        <v>13.79</v>
      </c>
      <c r="G87" s="257">
        <v>445.87</v>
      </c>
      <c r="H87" s="253">
        <v>6.26854775474284E-5</v>
      </c>
      <c r="I87"/>
    </row>
    <row r="88" spans="1:9" ht="15" customHeight="1">
      <c r="A88" s="295"/>
      <c r="B88" s="296"/>
      <c r="C88" s="295"/>
      <c r="D88" s="295"/>
      <c r="E88" s="295"/>
      <c r="F88" s="295"/>
      <c r="G88" s="295"/>
      <c r="H88" s="295"/>
      <c r="I88"/>
    </row>
    <row r="89" spans="1:9" ht="22.5">
      <c r="A89" s="259" t="s">
        <v>422</v>
      </c>
      <c r="B89" s="296" t="s">
        <v>423</v>
      </c>
      <c r="C89" s="260" t="s">
        <v>353</v>
      </c>
      <c r="D89" s="261">
        <v>44823.569916354165</v>
      </c>
      <c r="E89" s="258">
        <v>3.5682574200000001</v>
      </c>
      <c r="F89" s="257">
        <v>188</v>
      </c>
      <c r="G89" s="257">
        <v>670.83</v>
      </c>
      <c r="H89" s="253">
        <v>9.4312913860859397E-5</v>
      </c>
      <c r="I89"/>
    </row>
    <row r="90" spans="1:9" ht="15" customHeight="1">
      <c r="A90" s="295"/>
      <c r="B90" s="296"/>
      <c r="C90" s="295"/>
      <c r="D90" s="295"/>
      <c r="E90" s="295"/>
      <c r="F90" s="295"/>
      <c r="G90" s="295"/>
      <c r="H90" s="295"/>
      <c r="I90" s="253"/>
    </row>
    <row r="91" spans="1:9" ht="33.75">
      <c r="A91" s="259" t="s">
        <v>424</v>
      </c>
      <c r="B91" s="296" t="s">
        <v>425</v>
      </c>
      <c r="C91" s="260" t="s">
        <v>353</v>
      </c>
      <c r="D91" s="261">
        <v>45629.459983449073</v>
      </c>
      <c r="E91" s="258">
        <v>1</v>
      </c>
      <c r="F91" s="257">
        <v>335647.72</v>
      </c>
      <c r="G91" s="257">
        <v>335647.72</v>
      </c>
      <c r="H91" s="253">
        <v>4.7189175355833599E-2</v>
      </c>
      <c r="I91"/>
    </row>
    <row r="92" spans="1:9" ht="15" customHeight="1">
      <c r="A92" s="295"/>
      <c r="B92" s="296"/>
      <c r="C92" s="295"/>
      <c r="D92" s="295"/>
      <c r="E92" s="295"/>
      <c r="F92" s="295"/>
      <c r="G92" s="295"/>
      <c r="H92" s="295"/>
      <c r="I92"/>
    </row>
    <row r="93" spans="1:9">
      <c r="A93" s="295"/>
      <c r="B93" s="296"/>
      <c r="C93" s="295"/>
      <c r="D93" s="295"/>
      <c r="E93" s="295"/>
      <c r="F93" s="295"/>
      <c r="G93" s="295"/>
      <c r="H93" s="295"/>
      <c r="I93"/>
    </row>
    <row r="94" spans="1:9" ht="15" customHeight="1">
      <c r="A94" s="295"/>
      <c r="B94" s="296"/>
      <c r="C94" s="295"/>
      <c r="D94" s="295"/>
      <c r="E94" s="295"/>
      <c r="F94" s="295"/>
      <c r="G94" s="295"/>
      <c r="H94" s="295"/>
      <c r="I94" s="253"/>
    </row>
    <row r="95" spans="1:9">
      <c r="A95" s="295"/>
      <c r="B95" s="296"/>
      <c r="C95" s="295"/>
      <c r="D95" s="295"/>
      <c r="E95" s="295"/>
      <c r="F95" s="295"/>
      <c r="G95" s="295"/>
      <c r="H95" s="295"/>
      <c r="I95"/>
    </row>
    <row r="96" spans="1:9" ht="22.5">
      <c r="A96" s="259" t="s">
        <v>426</v>
      </c>
      <c r="B96" s="296" t="s">
        <v>427</v>
      </c>
      <c r="C96" s="260" t="s">
        <v>353</v>
      </c>
      <c r="D96" s="261">
        <v>45182</v>
      </c>
      <c r="E96" s="258">
        <v>48.45</v>
      </c>
      <c r="F96" s="257">
        <v>872</v>
      </c>
      <c r="G96" s="257">
        <v>42248.4</v>
      </c>
      <c r="H96" s="253">
        <v>5.9397607589987498E-3</v>
      </c>
      <c r="I96"/>
    </row>
    <row r="97" spans="1:9" ht="15" customHeight="1">
      <c r="A97" s="295"/>
      <c r="B97" s="296"/>
      <c r="C97" s="295"/>
      <c r="D97" s="295"/>
      <c r="E97" s="295"/>
      <c r="F97" s="295"/>
      <c r="G97" s="295"/>
      <c r="H97" s="295"/>
      <c r="I97" s="253"/>
    </row>
    <row r="98" spans="1:9">
      <c r="A98" s="295"/>
      <c r="B98" s="296"/>
      <c r="C98" s="295"/>
      <c r="D98" s="295"/>
      <c r="E98" s="295"/>
      <c r="F98" s="295"/>
      <c r="G98" s="295"/>
      <c r="H98" s="295"/>
      <c r="I98"/>
    </row>
    <row r="99" spans="1:9">
      <c r="A99" s="295"/>
      <c r="B99" s="296"/>
      <c r="C99" s="295"/>
      <c r="D99" s="295"/>
      <c r="E99" s="295"/>
      <c r="F99" s="295"/>
      <c r="G99" s="295"/>
      <c r="H99" s="295"/>
      <c r="I99" s="253"/>
    </row>
    <row r="100" spans="1:9" ht="15" customHeight="1">
      <c r="A100" s="259" t="s">
        <v>428</v>
      </c>
      <c r="B100" s="296" t="s">
        <v>429</v>
      </c>
      <c r="C100" s="260" t="s">
        <v>353</v>
      </c>
      <c r="D100" s="261">
        <v>44854.45573267361</v>
      </c>
      <c r="E100" s="258">
        <v>1332</v>
      </c>
      <c r="F100" s="257">
        <v>1.1200000000000001</v>
      </c>
      <c r="G100" s="257">
        <v>1491.84</v>
      </c>
      <c r="H100" s="253">
        <v>2.09739840815384E-4</v>
      </c>
      <c r="I100"/>
    </row>
    <row r="101" spans="1:9">
      <c r="A101" s="295"/>
      <c r="B101" s="296"/>
      <c r="C101" s="295"/>
      <c r="D101" s="295"/>
      <c r="E101" s="295"/>
      <c r="F101" s="295"/>
      <c r="G101" s="295"/>
      <c r="H101" s="295"/>
      <c r="I101" s="253"/>
    </row>
    <row r="102" spans="1:9" ht="15" customHeight="1">
      <c r="A102" s="295"/>
      <c r="B102" s="296"/>
      <c r="C102" s="295"/>
      <c r="D102" s="295"/>
      <c r="E102" s="295"/>
      <c r="F102" s="295"/>
      <c r="G102" s="295"/>
      <c r="H102" s="295"/>
      <c r="I102"/>
    </row>
    <row r="103" spans="1:9">
      <c r="A103" s="259" t="s">
        <v>430</v>
      </c>
      <c r="B103" s="296" t="s">
        <v>431</v>
      </c>
      <c r="C103" s="260" t="s">
        <v>353</v>
      </c>
      <c r="D103" s="261">
        <v>45629.508579548608</v>
      </c>
      <c r="E103" s="258">
        <v>296.24063073999997</v>
      </c>
      <c r="F103" s="257">
        <v>80.22</v>
      </c>
      <c r="G103" s="257">
        <v>23764.42</v>
      </c>
      <c r="H103" s="253">
        <v>3.3410725465666201E-3</v>
      </c>
      <c r="I103"/>
    </row>
    <row r="104" spans="1:9" ht="15" customHeight="1">
      <c r="A104" s="295"/>
      <c r="B104" s="296"/>
      <c r="C104" s="295"/>
      <c r="D104" s="295"/>
      <c r="E104" s="295"/>
      <c r="F104" s="295"/>
      <c r="G104" s="295"/>
      <c r="H104" s="295"/>
      <c r="I104" s="253"/>
    </row>
    <row r="105" spans="1:9" ht="22.5">
      <c r="A105" s="259" t="s">
        <v>432</v>
      </c>
      <c r="B105" s="296" t="s">
        <v>433</v>
      </c>
      <c r="C105" s="260" t="s">
        <v>353</v>
      </c>
      <c r="D105" s="261">
        <v>45182.751945682867</v>
      </c>
      <c r="E105" s="258">
        <v>504</v>
      </c>
      <c r="F105" s="257">
        <v>226.24</v>
      </c>
      <c r="G105" s="257">
        <v>114024.96000000001</v>
      </c>
      <c r="H105" s="253">
        <v>1.6030926211511001E-2</v>
      </c>
      <c r="I105"/>
    </row>
    <row r="106" spans="1:9">
      <c r="A106" s="295"/>
      <c r="B106" s="296"/>
      <c r="C106" s="295"/>
      <c r="D106" s="295"/>
      <c r="E106" s="295"/>
      <c r="F106" s="295"/>
      <c r="G106" s="295"/>
      <c r="H106" s="295"/>
      <c r="I106"/>
    </row>
    <row r="107" spans="1:9" ht="22.5">
      <c r="A107" s="259" t="s">
        <v>436</v>
      </c>
      <c r="B107" s="296" t="s">
        <v>437</v>
      </c>
      <c r="C107" s="260" t="s">
        <v>353</v>
      </c>
      <c r="D107" s="261">
        <v>45182.545456400461</v>
      </c>
      <c r="E107" s="258">
        <v>128</v>
      </c>
      <c r="F107" s="257">
        <v>37.19</v>
      </c>
      <c r="G107" s="257">
        <v>4760.32</v>
      </c>
      <c r="H107" s="253">
        <v>6.6925994679743902E-4</v>
      </c>
      <c r="I107" s="253"/>
    </row>
    <row r="108" spans="1:9" ht="15" customHeight="1">
      <c r="A108" s="295"/>
      <c r="B108" s="296"/>
      <c r="C108" s="295"/>
      <c r="D108" s="295"/>
      <c r="E108" s="295"/>
      <c r="F108" s="295"/>
      <c r="G108" s="295"/>
      <c r="H108" s="295"/>
      <c r="I108"/>
    </row>
    <row r="109" spans="1:9">
      <c r="A109" s="295"/>
      <c r="B109" s="296"/>
      <c r="C109" s="295"/>
      <c r="D109" s="295"/>
      <c r="E109" s="295"/>
      <c r="F109" s="295"/>
      <c r="G109" s="295"/>
      <c r="H109" s="295"/>
      <c r="I109"/>
    </row>
    <row r="110" spans="1:9" ht="15" customHeight="1">
      <c r="A110" s="259" t="s">
        <v>434</v>
      </c>
      <c r="B110" s="296" t="s">
        <v>435</v>
      </c>
      <c r="C110" s="260" t="s">
        <v>353</v>
      </c>
      <c r="D110" s="261">
        <v>45182.545588807872</v>
      </c>
      <c r="E110" s="258">
        <v>52.123942999999997</v>
      </c>
      <c r="F110" s="257">
        <v>34.6</v>
      </c>
      <c r="G110" s="257">
        <v>1803.49</v>
      </c>
      <c r="H110" s="253">
        <v>2.5355514365624899E-4</v>
      </c>
      <c r="I110" s="253"/>
    </row>
    <row r="111" spans="1:9">
      <c r="A111" s="295"/>
      <c r="B111" s="296"/>
      <c r="C111" s="295"/>
      <c r="D111" s="295"/>
      <c r="E111" s="295"/>
      <c r="F111" s="295"/>
      <c r="G111" s="295"/>
      <c r="H111" s="295"/>
      <c r="I111"/>
    </row>
    <row r="112" spans="1:9" ht="15" customHeight="1">
      <c r="A112" s="295"/>
      <c r="B112" s="296"/>
      <c r="C112" s="295"/>
      <c r="D112" s="295"/>
      <c r="E112" s="295"/>
      <c r="F112" s="295"/>
      <c r="G112" s="295"/>
      <c r="H112" s="295"/>
      <c r="I112"/>
    </row>
    <row r="113" spans="1:9" ht="22.5">
      <c r="A113" s="259" t="s">
        <v>438</v>
      </c>
      <c r="B113" s="296" t="s">
        <v>439</v>
      </c>
      <c r="C113" s="260" t="s">
        <v>353</v>
      </c>
      <c r="D113" s="261">
        <v>44811.585455590277</v>
      </c>
      <c r="E113" s="258">
        <v>776.66860999999994</v>
      </c>
      <c r="F113" s="257">
        <v>8.19</v>
      </c>
      <c r="G113" s="257">
        <v>6360.92</v>
      </c>
      <c r="H113" s="253">
        <v>8.9429050584472597E-4</v>
      </c>
      <c r="I113" s="253"/>
    </row>
    <row r="114" spans="1:9" ht="15" customHeight="1">
      <c r="A114" s="295"/>
      <c r="B114" s="296"/>
      <c r="C114" s="295"/>
      <c r="D114" s="295"/>
      <c r="E114" s="295"/>
      <c r="F114" s="295"/>
      <c r="G114" s="295"/>
      <c r="H114" s="295"/>
      <c r="I114"/>
    </row>
    <row r="115" spans="1:9">
      <c r="A115" s="295"/>
      <c r="B115" s="296"/>
      <c r="C115" s="295"/>
      <c r="D115" s="295"/>
      <c r="E115" s="295"/>
      <c r="F115" s="295"/>
      <c r="G115" s="295"/>
      <c r="H115" s="295"/>
      <c r="I115"/>
    </row>
    <row r="116" spans="1:9" ht="15" customHeight="1">
      <c r="A116" s="259" t="s">
        <v>440</v>
      </c>
      <c r="B116" s="296" t="s">
        <v>441</v>
      </c>
      <c r="C116" s="260" t="s">
        <v>353</v>
      </c>
      <c r="D116" s="261">
        <v>45629.533671643519</v>
      </c>
      <c r="E116" s="258">
        <v>110.321361</v>
      </c>
      <c r="F116" s="257">
        <v>19.5</v>
      </c>
      <c r="G116" s="257">
        <v>2151.27</v>
      </c>
      <c r="H116" s="253">
        <v>3.0245001297117102E-4</v>
      </c>
      <c r="I116" s="253"/>
    </row>
    <row r="117" spans="1:9">
      <c r="A117" s="295"/>
      <c r="B117" s="296"/>
      <c r="C117" s="295"/>
      <c r="D117" s="295"/>
      <c r="E117" s="295"/>
      <c r="F117" s="295"/>
      <c r="G117" s="295"/>
      <c r="H117" s="295"/>
      <c r="I117"/>
    </row>
    <row r="118" spans="1:9">
      <c r="A118" s="295"/>
      <c r="B118" s="296"/>
      <c r="C118" s="295"/>
      <c r="D118" s="295"/>
      <c r="E118" s="295"/>
      <c r="F118" s="295"/>
      <c r="G118" s="295"/>
      <c r="H118" s="295"/>
      <c r="I118"/>
    </row>
    <row r="119" spans="1:9" ht="15" customHeight="1">
      <c r="A119" s="259" t="s">
        <v>442</v>
      </c>
      <c r="B119" s="296" t="s">
        <v>443</v>
      </c>
      <c r="C119" s="260" t="s">
        <v>353</v>
      </c>
      <c r="D119" s="261">
        <v>45629.534530902776</v>
      </c>
      <c r="E119" s="258">
        <v>159.539952</v>
      </c>
      <c r="F119" s="257">
        <v>19.5</v>
      </c>
      <c r="G119" s="257">
        <v>3111.03</v>
      </c>
      <c r="H119" s="253">
        <v>4.37383993572961E-4</v>
      </c>
      <c r="I119" s="253"/>
    </row>
    <row r="120" spans="1:9">
      <c r="A120" s="295"/>
      <c r="B120" s="296"/>
      <c r="C120" s="295"/>
      <c r="D120" s="295"/>
      <c r="E120" s="295"/>
      <c r="F120" s="295"/>
      <c r="G120" s="295"/>
      <c r="H120" s="295"/>
      <c r="I120"/>
    </row>
    <row r="121" spans="1:9">
      <c r="A121" s="295"/>
      <c r="B121" s="296"/>
      <c r="C121" s="295"/>
      <c r="D121" s="295"/>
      <c r="E121" s="295"/>
      <c r="F121" s="295"/>
      <c r="G121" s="295"/>
      <c r="H121" s="295"/>
      <c r="I121" s="253"/>
    </row>
    <row r="122" spans="1:9" ht="15" customHeight="1">
      <c r="A122" s="259" t="s">
        <v>444</v>
      </c>
      <c r="B122" s="296" t="s">
        <v>445</v>
      </c>
      <c r="C122" s="260" t="s">
        <v>353</v>
      </c>
      <c r="D122" s="261">
        <v>45182.5460809375</v>
      </c>
      <c r="E122" s="258">
        <v>84.991945999999999</v>
      </c>
      <c r="F122" s="257">
        <v>24.56</v>
      </c>
      <c r="G122" s="257">
        <v>2087.4</v>
      </c>
      <c r="H122" s="253">
        <v>2.9347044168143599E-4</v>
      </c>
      <c r="I122"/>
    </row>
    <row r="123" spans="1:9">
      <c r="A123" s="295"/>
      <c r="B123" s="296"/>
      <c r="C123" s="295"/>
      <c r="D123" s="295"/>
      <c r="E123" s="295"/>
      <c r="F123" s="295"/>
      <c r="G123" s="295"/>
      <c r="H123" s="295"/>
      <c r="I123" s="253"/>
    </row>
    <row r="124" spans="1:9">
      <c r="A124" s="295"/>
      <c r="B124" s="296"/>
      <c r="C124" s="295"/>
      <c r="D124" s="295"/>
      <c r="E124" s="295"/>
      <c r="F124" s="295"/>
      <c r="G124" s="295"/>
      <c r="H124" s="295"/>
      <c r="I124"/>
    </row>
    <row r="125" spans="1:9" ht="15" customHeight="1">
      <c r="A125" s="259" t="s">
        <v>446</v>
      </c>
      <c r="B125" s="296" t="s">
        <v>447</v>
      </c>
      <c r="C125" s="260" t="s">
        <v>353</v>
      </c>
      <c r="D125" s="261">
        <v>44781</v>
      </c>
      <c r="E125" s="258">
        <v>98.287825999999995</v>
      </c>
      <c r="F125" s="257">
        <v>6.26</v>
      </c>
      <c r="G125" s="257">
        <v>615.28</v>
      </c>
      <c r="H125" s="253">
        <v>8.6503062833071803E-5</v>
      </c>
      <c r="I125"/>
    </row>
    <row r="126" spans="1:9">
      <c r="A126" s="295"/>
      <c r="B126" s="296"/>
      <c r="C126" s="295"/>
      <c r="D126" s="295"/>
      <c r="E126" s="295"/>
      <c r="F126" s="295"/>
      <c r="G126" s="295"/>
      <c r="H126" s="295"/>
      <c r="I126" s="253"/>
    </row>
    <row r="127" spans="1:9">
      <c r="A127" s="259" t="s">
        <v>448</v>
      </c>
      <c r="B127" s="296" t="s">
        <v>449</v>
      </c>
      <c r="C127" s="260" t="s">
        <v>353</v>
      </c>
      <c r="D127" s="261">
        <v>45629</v>
      </c>
      <c r="E127" s="258">
        <v>977.72704075000001</v>
      </c>
      <c r="F127" s="257">
        <v>2.44</v>
      </c>
      <c r="G127" s="257">
        <v>2385.65</v>
      </c>
      <c r="H127" s="253">
        <v>3.3540182006195198E-4</v>
      </c>
      <c r="I127"/>
    </row>
    <row r="128" spans="1:9" ht="15" customHeight="1">
      <c r="A128" s="295"/>
      <c r="B128" s="296"/>
      <c r="C128" s="295"/>
      <c r="D128" s="295"/>
      <c r="E128" s="295"/>
      <c r="F128" s="295"/>
      <c r="G128" s="295"/>
      <c r="H128" s="295"/>
      <c r="I128" s="253"/>
    </row>
    <row r="129" spans="1:9" ht="22.5">
      <c r="A129" s="259" t="s">
        <v>450</v>
      </c>
      <c r="B129" s="296" t="s">
        <v>451</v>
      </c>
      <c r="C129" s="260" t="s">
        <v>353</v>
      </c>
      <c r="D129" s="261">
        <v>45182.547040127312</v>
      </c>
      <c r="E129" s="258">
        <v>10</v>
      </c>
      <c r="F129" s="257">
        <v>46</v>
      </c>
      <c r="G129" s="257">
        <v>460</v>
      </c>
      <c r="H129" s="253">
        <v>6.4672033713452406E-5</v>
      </c>
      <c r="I129"/>
    </row>
    <row r="130" spans="1:9">
      <c r="A130" s="295"/>
      <c r="B130" s="296"/>
      <c r="C130" s="295"/>
      <c r="D130" s="295"/>
      <c r="E130" s="295"/>
      <c r="F130" s="295"/>
      <c r="G130" s="295"/>
      <c r="H130" s="295"/>
      <c r="I130" s="253"/>
    </row>
    <row r="131" spans="1:9" ht="15" customHeight="1">
      <c r="A131" s="295"/>
      <c r="B131" s="296"/>
      <c r="C131" s="295"/>
      <c r="D131" s="295"/>
      <c r="E131" s="295"/>
      <c r="F131" s="295"/>
      <c r="G131" s="295"/>
      <c r="H131" s="295"/>
      <c r="I131"/>
    </row>
    <row r="132" spans="1:9" ht="22.5">
      <c r="A132" s="259" t="s">
        <v>452</v>
      </c>
      <c r="B132" s="296" t="s">
        <v>453</v>
      </c>
      <c r="C132" s="260" t="s">
        <v>353</v>
      </c>
      <c r="D132" s="261">
        <v>44811.461350196761</v>
      </c>
      <c r="E132" s="258">
        <v>27.3</v>
      </c>
      <c r="F132" s="257">
        <v>17.46</v>
      </c>
      <c r="G132" s="257">
        <v>476.66</v>
      </c>
      <c r="H132" s="253">
        <v>6.7014286064900506E-5</v>
      </c>
      <c r="I132"/>
    </row>
    <row r="133" spans="1:9" ht="15" customHeight="1">
      <c r="A133" s="295"/>
      <c r="B133" s="296"/>
      <c r="C133" s="295"/>
      <c r="D133" s="295"/>
      <c r="E133" s="295"/>
      <c r="F133" s="295"/>
      <c r="G133" s="295"/>
      <c r="H133" s="295"/>
      <c r="I133" s="253"/>
    </row>
    <row r="134" spans="1:9" ht="22.5">
      <c r="A134" s="259" t="s">
        <v>454</v>
      </c>
      <c r="B134" s="296" t="s">
        <v>455</v>
      </c>
      <c r="C134" s="260" t="s">
        <v>353</v>
      </c>
      <c r="D134" s="261">
        <v>45182.751390277779</v>
      </c>
      <c r="E134" s="258">
        <v>504</v>
      </c>
      <c r="F134" s="257">
        <v>252.3</v>
      </c>
      <c r="G134" s="257">
        <v>127159.2</v>
      </c>
      <c r="H134" s="253">
        <v>1.78774871073384E-2</v>
      </c>
      <c r="I134"/>
    </row>
    <row r="135" spans="1:9" ht="15" customHeight="1">
      <c r="A135" s="295"/>
      <c r="B135" s="296"/>
      <c r="C135" s="295"/>
      <c r="D135" s="295"/>
      <c r="E135" s="295"/>
      <c r="F135" s="295"/>
      <c r="G135" s="295"/>
      <c r="H135" s="295"/>
      <c r="I135"/>
    </row>
    <row r="136" spans="1:9" ht="22.5">
      <c r="A136" s="259" t="s">
        <v>456</v>
      </c>
      <c r="B136" s="296" t="s">
        <v>457</v>
      </c>
      <c r="C136" s="260" t="s">
        <v>353</v>
      </c>
      <c r="D136" s="261">
        <v>44855.460708298611</v>
      </c>
      <c r="E136" s="258">
        <v>1</v>
      </c>
      <c r="F136" s="257">
        <v>95</v>
      </c>
      <c r="G136" s="257">
        <v>95</v>
      </c>
      <c r="H136" s="253">
        <v>1.33561808756043E-5</v>
      </c>
      <c r="I136" s="253"/>
    </row>
    <row r="137" spans="1:9" ht="15" customHeight="1">
      <c r="A137" s="295"/>
      <c r="B137" s="296"/>
      <c r="C137" s="295"/>
      <c r="D137" s="295"/>
      <c r="E137" s="295"/>
      <c r="F137" s="295"/>
      <c r="G137" s="295"/>
      <c r="H137" s="295"/>
      <c r="I137"/>
    </row>
    <row r="138" spans="1:9">
      <c r="A138" s="295"/>
      <c r="B138" s="296"/>
      <c r="C138" s="295"/>
      <c r="D138" s="295"/>
      <c r="E138" s="295"/>
      <c r="F138" s="295"/>
      <c r="G138" s="295"/>
      <c r="H138" s="295"/>
      <c r="I138" s="253"/>
    </row>
    <row r="139" spans="1:9" ht="15" customHeight="1">
      <c r="A139" s="259" t="s">
        <v>458</v>
      </c>
      <c r="B139" s="296" t="s">
        <v>459</v>
      </c>
      <c r="C139" s="260" t="s">
        <v>353</v>
      </c>
      <c r="D139" s="261">
        <v>45182</v>
      </c>
      <c r="E139" s="258">
        <v>3.9999989999999999</v>
      </c>
      <c r="F139" s="257">
        <v>36.380000000000003</v>
      </c>
      <c r="G139" s="257">
        <v>145.52000000000001</v>
      </c>
      <c r="H139" s="253">
        <v>2.0458857273873E-5</v>
      </c>
      <c r="I139"/>
    </row>
    <row r="140" spans="1:9">
      <c r="A140" s="295"/>
      <c r="B140" s="296"/>
      <c r="C140" s="295"/>
      <c r="D140" s="295"/>
      <c r="E140" s="295"/>
      <c r="F140" s="295"/>
      <c r="G140" s="295"/>
      <c r="H140" s="295"/>
      <c r="I140" s="253"/>
    </row>
    <row r="141" spans="1:9">
      <c r="A141" s="295"/>
      <c r="B141" s="296"/>
      <c r="C141" s="295"/>
      <c r="D141" s="295"/>
      <c r="E141" s="295"/>
      <c r="F141" s="295"/>
      <c r="G141" s="295"/>
      <c r="H141" s="295"/>
      <c r="I141"/>
    </row>
    <row r="142" spans="1:9" ht="15" customHeight="1">
      <c r="A142" s="259" t="s">
        <v>460</v>
      </c>
      <c r="B142" s="296" t="s">
        <v>461</v>
      </c>
      <c r="C142" s="260" t="s">
        <v>353</v>
      </c>
      <c r="D142" s="261">
        <v>45181.72359548611</v>
      </c>
      <c r="E142" s="258">
        <v>25</v>
      </c>
      <c r="F142" s="257">
        <v>218.8</v>
      </c>
      <c r="G142" s="257">
        <v>5470</v>
      </c>
      <c r="H142" s="253">
        <v>7.6903483567953201E-4</v>
      </c>
      <c r="I142" s="253"/>
    </row>
    <row r="143" spans="1:9">
      <c r="A143" s="295"/>
      <c r="B143" s="296"/>
      <c r="C143" s="295"/>
      <c r="D143" s="295"/>
      <c r="E143" s="295"/>
      <c r="F143" s="295"/>
      <c r="G143" s="295"/>
      <c r="H143" s="295"/>
      <c r="I143"/>
    </row>
    <row r="144" spans="1:9">
      <c r="A144" s="259" t="s">
        <v>462</v>
      </c>
      <c r="B144" s="296" t="s">
        <v>463</v>
      </c>
      <c r="C144" s="260" t="s">
        <v>353</v>
      </c>
      <c r="D144" s="261">
        <v>45182.786974421295</v>
      </c>
      <c r="E144" s="258">
        <v>20</v>
      </c>
      <c r="F144" s="257">
        <v>386.84</v>
      </c>
      <c r="G144" s="257">
        <v>7736.8</v>
      </c>
      <c r="H144" s="253">
        <v>1.08772737050921E-3</v>
      </c>
      <c r="I144" s="253"/>
    </row>
    <row r="145" spans="1:9" ht="15" customHeight="1">
      <c r="A145" s="295"/>
      <c r="B145" s="296"/>
      <c r="C145" s="295"/>
      <c r="D145" s="295"/>
      <c r="E145" s="295"/>
      <c r="F145" s="295"/>
      <c r="G145" s="295"/>
      <c r="H145" s="295"/>
      <c r="I145"/>
    </row>
    <row r="146" spans="1:9">
      <c r="A146" s="259" t="s">
        <v>464</v>
      </c>
      <c r="B146" s="296" t="s">
        <v>465</v>
      </c>
      <c r="C146" s="260" t="s">
        <v>353</v>
      </c>
      <c r="D146" s="261">
        <v>45182.796464155093</v>
      </c>
      <c r="E146" s="258">
        <v>57</v>
      </c>
      <c r="F146" s="257">
        <v>203.26</v>
      </c>
      <c r="G146" s="257">
        <v>11585.82</v>
      </c>
      <c r="H146" s="253">
        <v>1.6288663948652001E-3</v>
      </c>
      <c r="I146"/>
    </row>
    <row r="147" spans="1:9" ht="15" customHeight="1">
      <c r="A147" s="295"/>
      <c r="B147" s="296"/>
      <c r="C147" s="295"/>
      <c r="D147" s="295"/>
      <c r="E147" s="295"/>
      <c r="F147" s="295"/>
      <c r="G147" s="295"/>
      <c r="H147" s="295"/>
      <c r="I147" s="253"/>
    </row>
    <row r="148" spans="1:9" ht="22.5">
      <c r="A148" s="259" t="s">
        <v>466</v>
      </c>
      <c r="B148" s="296" t="s">
        <v>467</v>
      </c>
      <c r="C148" s="260" t="s">
        <v>353</v>
      </c>
      <c r="D148" s="261">
        <v>44811.578679398146</v>
      </c>
      <c r="E148" s="258">
        <v>0</v>
      </c>
      <c r="F148" s="257">
        <v>1.65</v>
      </c>
      <c r="G148" s="257">
        <v>0</v>
      </c>
      <c r="H148" s="253">
        <v>0</v>
      </c>
      <c r="I148"/>
    </row>
    <row r="149" spans="1:9" ht="15" customHeight="1">
      <c r="A149" s="295"/>
      <c r="B149" s="296"/>
      <c r="C149" s="295"/>
      <c r="D149" s="295"/>
      <c r="E149" s="295"/>
      <c r="F149" s="295"/>
      <c r="G149" s="295"/>
      <c r="H149" s="295"/>
      <c r="I149"/>
    </row>
    <row r="150" spans="1:9" ht="22.5">
      <c r="A150" s="259" t="s">
        <v>472</v>
      </c>
      <c r="B150" s="296" t="s">
        <v>473</v>
      </c>
      <c r="C150" s="260" t="s">
        <v>353</v>
      </c>
      <c r="D150" s="261">
        <v>45629.5369971412</v>
      </c>
      <c r="E150" s="258">
        <v>200.92171673999999</v>
      </c>
      <c r="F150" s="257">
        <v>8.24</v>
      </c>
      <c r="G150" s="257">
        <v>1655.59</v>
      </c>
      <c r="H150" s="253">
        <v>2.32761678903597E-4</v>
      </c>
      <c r="I150" s="253"/>
    </row>
    <row r="151" spans="1:9">
      <c r="A151" s="295"/>
      <c r="B151" s="296"/>
      <c r="C151" s="295"/>
      <c r="D151" s="295"/>
      <c r="E151" s="295"/>
      <c r="F151" s="295"/>
      <c r="G151" s="295"/>
      <c r="H151" s="295"/>
      <c r="I151"/>
    </row>
    <row r="152" spans="1:9" ht="15" customHeight="1">
      <c r="A152" s="295"/>
      <c r="B152" s="296"/>
      <c r="C152" s="295"/>
      <c r="D152" s="295"/>
      <c r="E152" s="295"/>
      <c r="F152" s="295"/>
      <c r="G152" s="295"/>
      <c r="H152" s="295"/>
      <c r="I152"/>
    </row>
    <row r="153" spans="1:9" ht="22.5">
      <c r="A153" s="259" t="s">
        <v>474</v>
      </c>
      <c r="B153" s="296" t="s">
        <v>475</v>
      </c>
      <c r="C153" s="260" t="s">
        <v>353</v>
      </c>
      <c r="D153" s="261">
        <v>45182.546601041664</v>
      </c>
      <c r="E153" s="258">
        <v>1299.8903017800001</v>
      </c>
      <c r="F153" s="257">
        <v>5.78</v>
      </c>
      <c r="G153" s="257">
        <v>7513.37</v>
      </c>
      <c r="H153" s="253">
        <v>1.0563150390035701E-3</v>
      </c>
      <c r="I153" s="253"/>
    </row>
    <row r="154" spans="1:9">
      <c r="A154" s="295"/>
      <c r="B154" s="296"/>
      <c r="C154" s="295"/>
      <c r="D154" s="295"/>
      <c r="E154" s="295"/>
      <c r="F154" s="295"/>
      <c r="G154" s="295"/>
      <c r="H154" s="295"/>
      <c r="I154"/>
    </row>
    <row r="155" spans="1:9" ht="15" customHeight="1">
      <c r="A155" s="295"/>
      <c r="B155" s="296"/>
      <c r="C155" s="295"/>
      <c r="D155" s="295"/>
      <c r="E155" s="295"/>
      <c r="F155" s="295"/>
      <c r="G155" s="295"/>
      <c r="H155" s="295"/>
      <c r="I155"/>
    </row>
    <row r="156" spans="1:9" ht="22.5">
      <c r="A156" s="259" t="s">
        <v>470</v>
      </c>
      <c r="B156" s="296" t="s">
        <v>471</v>
      </c>
      <c r="C156" s="260" t="s">
        <v>353</v>
      </c>
      <c r="D156" s="261">
        <v>45182.547709571758</v>
      </c>
      <c r="E156" s="258">
        <v>141.67505666</v>
      </c>
      <c r="F156" s="257">
        <v>14.49</v>
      </c>
      <c r="G156" s="257">
        <v>2052.87</v>
      </c>
      <c r="H156" s="253">
        <v>2.8861582141159802E-4</v>
      </c>
      <c r="I156" s="253"/>
    </row>
    <row r="157" spans="1:9">
      <c r="A157" s="295"/>
      <c r="B157" s="296"/>
      <c r="C157" s="295"/>
      <c r="D157" s="295"/>
      <c r="E157" s="295"/>
      <c r="F157" s="295"/>
      <c r="G157" s="295"/>
      <c r="H157" s="295"/>
      <c r="I157"/>
    </row>
    <row r="158" spans="1:9" ht="15" customHeight="1">
      <c r="A158" s="295"/>
      <c r="B158" s="296"/>
      <c r="C158" s="295"/>
      <c r="D158" s="295"/>
      <c r="E158" s="295"/>
      <c r="F158" s="295"/>
      <c r="G158" s="295"/>
      <c r="H158" s="295"/>
      <c r="I158"/>
    </row>
    <row r="159" spans="1:9" ht="22.5">
      <c r="A159" s="259" t="s">
        <v>468</v>
      </c>
      <c r="B159" s="296" t="s">
        <v>469</v>
      </c>
      <c r="C159" s="260" t="s">
        <v>353</v>
      </c>
      <c r="D159" s="261">
        <v>44823.56631357639</v>
      </c>
      <c r="E159" s="258">
        <v>130.47780152000001</v>
      </c>
      <c r="F159" s="257">
        <v>27.14</v>
      </c>
      <c r="G159" s="257">
        <v>3541.17</v>
      </c>
      <c r="H159" s="253">
        <v>4.97857968750144E-4</v>
      </c>
      <c r="I159" s="253"/>
    </row>
    <row r="160" spans="1:9">
      <c r="A160" s="295"/>
      <c r="B160" s="296"/>
      <c r="C160" s="295"/>
      <c r="D160" s="295"/>
      <c r="E160" s="295"/>
      <c r="F160" s="295"/>
      <c r="G160" s="295"/>
      <c r="H160" s="295"/>
      <c r="I160"/>
    </row>
    <row r="161" spans="1:9" ht="15" customHeight="1">
      <c r="A161" s="295"/>
      <c r="B161" s="296"/>
      <c r="C161" s="295"/>
      <c r="D161" s="295"/>
      <c r="E161" s="295"/>
      <c r="F161" s="295"/>
      <c r="G161" s="295"/>
      <c r="H161" s="295"/>
      <c r="I161"/>
    </row>
    <row r="162" spans="1:9" ht="22.5">
      <c r="A162" s="259" t="s">
        <v>478</v>
      </c>
      <c r="B162" s="296" t="s">
        <v>479</v>
      </c>
      <c r="C162" s="260" t="s">
        <v>353</v>
      </c>
      <c r="D162" s="261">
        <v>45057.846821527775</v>
      </c>
      <c r="E162" s="258">
        <v>65.666601</v>
      </c>
      <c r="F162" s="257">
        <v>30.86</v>
      </c>
      <c r="G162" s="257">
        <v>2026.47</v>
      </c>
      <c r="H162" s="253">
        <v>2.8490420904195599E-4</v>
      </c>
      <c r="I162" s="253"/>
    </row>
    <row r="163" spans="1:9">
      <c r="A163" s="295"/>
      <c r="B163" s="296"/>
      <c r="C163" s="295"/>
      <c r="D163" s="295"/>
      <c r="E163" s="295"/>
      <c r="F163" s="295"/>
      <c r="G163" s="295"/>
      <c r="H163" s="295"/>
      <c r="I163"/>
    </row>
    <row r="164" spans="1:9" ht="15" customHeight="1">
      <c r="A164" s="295"/>
      <c r="B164" s="296"/>
      <c r="C164" s="295"/>
      <c r="D164" s="295"/>
      <c r="E164" s="295"/>
      <c r="F164" s="295"/>
      <c r="G164" s="295"/>
      <c r="H164" s="295"/>
      <c r="I164" s="253"/>
    </row>
    <row r="165" spans="1:9" ht="22.5">
      <c r="A165" s="259" t="s">
        <v>476</v>
      </c>
      <c r="B165" s="296" t="s">
        <v>477</v>
      </c>
      <c r="C165" s="260" t="s">
        <v>353</v>
      </c>
      <c r="D165" s="261">
        <v>45182.547493171296</v>
      </c>
      <c r="E165" s="258">
        <v>174.59339073999999</v>
      </c>
      <c r="F165" s="257">
        <v>33.130000000000003</v>
      </c>
      <c r="G165" s="257">
        <v>5784.28</v>
      </c>
      <c r="H165" s="253">
        <v>8.1321989384358401E-4</v>
      </c>
      <c r="I165"/>
    </row>
    <row r="166" spans="1:9">
      <c r="A166" s="295"/>
      <c r="B166" s="296"/>
      <c r="C166" s="295"/>
      <c r="D166" s="295"/>
      <c r="E166" s="295"/>
      <c r="F166" s="295"/>
      <c r="G166" s="295"/>
      <c r="H166" s="295"/>
      <c r="I166" s="253"/>
    </row>
    <row r="167" spans="1:9" ht="15" customHeight="1">
      <c r="A167" s="295"/>
      <c r="B167" s="296"/>
      <c r="C167" s="295"/>
      <c r="D167" s="295"/>
      <c r="E167" s="295"/>
      <c r="F167" s="295"/>
      <c r="G167" s="295"/>
      <c r="H167" s="295"/>
      <c r="I167"/>
    </row>
    <row r="168" spans="1:9" ht="22.5">
      <c r="A168" s="259" t="s">
        <v>480</v>
      </c>
      <c r="B168" s="296" t="s">
        <v>481</v>
      </c>
      <c r="C168" s="260" t="s">
        <v>353</v>
      </c>
      <c r="D168" s="261">
        <v>45021.59570258102</v>
      </c>
      <c r="E168" s="258">
        <v>4.6666670000000003</v>
      </c>
      <c r="F168" s="257">
        <v>6.85</v>
      </c>
      <c r="G168" s="257">
        <v>31.97</v>
      </c>
      <c r="H168" s="253">
        <v>4.4947063430849398E-6</v>
      </c>
      <c r="I168" s="253"/>
    </row>
    <row r="169" spans="1:9" ht="15" customHeight="1">
      <c r="A169" s="295"/>
      <c r="B169" s="296"/>
      <c r="C169" s="295"/>
      <c r="D169" s="295"/>
      <c r="E169" s="295"/>
      <c r="F169" s="295"/>
      <c r="G169" s="295"/>
      <c r="H169" s="295"/>
      <c r="I169"/>
    </row>
    <row r="170" spans="1:9" ht="22.5">
      <c r="A170" s="259" t="s">
        <v>482</v>
      </c>
      <c r="B170" s="296" t="s">
        <v>483</v>
      </c>
      <c r="C170" s="260" t="s">
        <v>353</v>
      </c>
      <c r="D170" s="261">
        <v>45183.736203506945</v>
      </c>
      <c r="E170" s="258">
        <v>1</v>
      </c>
      <c r="F170" s="257">
        <v>48.04</v>
      </c>
      <c r="G170" s="257">
        <v>48.04</v>
      </c>
      <c r="H170" s="253">
        <v>6.7540097817266398E-6</v>
      </c>
      <c r="I170"/>
    </row>
    <row r="171" spans="1:9" ht="15" customHeight="1">
      <c r="A171" s="295"/>
      <c r="B171" s="296"/>
      <c r="C171" s="295"/>
      <c r="D171" s="295"/>
      <c r="E171" s="295"/>
      <c r="F171" s="295"/>
      <c r="G171" s="295"/>
      <c r="H171" s="295"/>
      <c r="I171"/>
    </row>
    <row r="172" spans="1:9">
      <c r="A172" s="259" t="s">
        <v>484</v>
      </c>
      <c r="B172" s="296" t="s">
        <v>485</v>
      </c>
      <c r="C172" s="260" t="s">
        <v>353</v>
      </c>
      <c r="D172" s="261">
        <v>45182.789980821763</v>
      </c>
      <c r="E172" s="258">
        <v>49</v>
      </c>
      <c r="F172" s="257">
        <v>156.69999999999999</v>
      </c>
      <c r="G172" s="257">
        <v>7678.3</v>
      </c>
      <c r="H172" s="253">
        <v>1.0795027749174E-3</v>
      </c>
      <c r="I172" s="253"/>
    </row>
    <row r="173" spans="1:9">
      <c r="A173" s="295"/>
      <c r="B173" s="296"/>
      <c r="C173" s="295"/>
      <c r="D173" s="295"/>
      <c r="E173" s="295"/>
      <c r="F173" s="295"/>
      <c r="G173" s="295"/>
      <c r="H173" s="295"/>
      <c r="I173"/>
    </row>
    <row r="174" spans="1:9" ht="15" customHeight="1">
      <c r="A174" s="259" t="s">
        <v>486</v>
      </c>
      <c r="B174" s="296" t="s">
        <v>487</v>
      </c>
      <c r="C174" s="260" t="s">
        <v>353</v>
      </c>
      <c r="D174" s="261">
        <v>45629.774620173608</v>
      </c>
      <c r="E174" s="258">
        <v>2.9</v>
      </c>
      <c r="F174" s="257">
        <v>1439.92</v>
      </c>
      <c r="G174" s="257">
        <v>4175.7700000000004</v>
      </c>
      <c r="H174" s="253">
        <v>5.8707725699918103E-4</v>
      </c>
      <c r="I174" s="253"/>
    </row>
    <row r="175" spans="1:9">
      <c r="A175" s="295"/>
      <c r="B175" s="296"/>
      <c r="C175" s="295"/>
      <c r="D175" s="295"/>
      <c r="E175" s="295"/>
      <c r="F175" s="295"/>
      <c r="G175" s="295"/>
      <c r="H175" s="295"/>
      <c r="I175"/>
    </row>
    <row r="176" spans="1:9" ht="15" customHeight="1">
      <c r="A176" s="295"/>
      <c r="B176" s="296"/>
      <c r="C176" s="295"/>
      <c r="D176" s="295"/>
      <c r="E176" s="295"/>
      <c r="F176" s="295"/>
      <c r="G176" s="295"/>
      <c r="H176" s="295"/>
      <c r="I176" s="253"/>
    </row>
    <row r="177" spans="1:9">
      <c r="A177" s="295"/>
      <c r="B177" s="296"/>
      <c r="C177" s="295"/>
      <c r="D177" s="295"/>
      <c r="E177" s="295"/>
      <c r="F177" s="295"/>
      <c r="G177" s="295"/>
      <c r="H177" s="295"/>
      <c r="I177"/>
    </row>
    <row r="178" spans="1:9" ht="22.5">
      <c r="A178" s="259" t="s">
        <v>488</v>
      </c>
      <c r="B178" s="296" t="s">
        <v>489</v>
      </c>
      <c r="C178" s="260" t="s">
        <v>353</v>
      </c>
      <c r="D178" s="261">
        <v>45629.772604016202</v>
      </c>
      <c r="E178" s="258">
        <v>12.6</v>
      </c>
      <c r="F178" s="257">
        <v>1271</v>
      </c>
      <c r="G178" s="257">
        <v>16014.6</v>
      </c>
      <c r="H178" s="253">
        <v>2.2515146763205599E-3</v>
      </c>
      <c r="I178" s="253"/>
    </row>
    <row r="179" spans="1:9" ht="15" customHeight="1">
      <c r="A179" s="295"/>
      <c r="B179" s="296"/>
      <c r="C179" s="295"/>
      <c r="D179" s="295"/>
      <c r="E179" s="295"/>
      <c r="F179" s="295"/>
      <c r="G179" s="295"/>
      <c r="H179" s="295"/>
      <c r="I179"/>
    </row>
    <row r="180" spans="1:9" ht="22.5">
      <c r="A180" s="259" t="s">
        <v>490</v>
      </c>
      <c r="B180" s="296" t="s">
        <v>491</v>
      </c>
      <c r="C180" s="260" t="s">
        <v>353</v>
      </c>
      <c r="D180" s="261">
        <v>45629.773862037036</v>
      </c>
      <c r="E180" s="258">
        <v>9</v>
      </c>
      <c r="F180" s="257">
        <v>729.25</v>
      </c>
      <c r="G180" s="257">
        <v>6563.25</v>
      </c>
      <c r="H180" s="253">
        <v>9.2273635928220995E-4</v>
      </c>
      <c r="I180"/>
    </row>
    <row r="181" spans="1:9">
      <c r="A181" s="295"/>
      <c r="B181" s="296"/>
      <c r="C181" s="295"/>
      <c r="D181" s="295"/>
      <c r="E181" s="295"/>
      <c r="F181" s="295"/>
      <c r="G181" s="295"/>
      <c r="H181" s="295"/>
      <c r="I181"/>
    </row>
    <row r="182" spans="1:9" ht="15" customHeight="1">
      <c r="A182" s="259" t="s">
        <v>647</v>
      </c>
      <c r="B182" s="296" t="s">
        <v>648</v>
      </c>
      <c r="C182" s="260" t="s">
        <v>640</v>
      </c>
      <c r="D182" s="261">
        <v>45176.662131053243</v>
      </c>
      <c r="E182" s="258">
        <v>37942.720000000001</v>
      </c>
      <c r="F182" s="257">
        <v>1</v>
      </c>
      <c r="G182" s="257">
        <v>37942.720000000001</v>
      </c>
      <c r="H182" s="253">
        <v>5.3344192761306201E-3</v>
      </c>
      <c r="I182"/>
    </row>
    <row r="183" spans="1:9" ht="22.5">
      <c r="A183" s="259" t="s">
        <v>492</v>
      </c>
      <c r="B183" s="296" t="s">
        <v>493</v>
      </c>
      <c r="C183" s="260" t="s">
        <v>353</v>
      </c>
      <c r="D183" s="261">
        <v>45183</v>
      </c>
      <c r="E183" s="258">
        <v>1</v>
      </c>
      <c r="F183" s="257">
        <v>71.790000000000006</v>
      </c>
      <c r="G183" s="257">
        <v>71.790000000000006</v>
      </c>
      <c r="H183" s="253">
        <v>1.0093055000627701E-5</v>
      </c>
      <c r="I183" s="253"/>
    </row>
    <row r="184" spans="1:9" ht="15" customHeight="1">
      <c r="A184" s="295"/>
      <c r="B184" s="296"/>
      <c r="C184" s="295"/>
      <c r="D184" s="295"/>
      <c r="E184" s="295"/>
      <c r="F184" s="295"/>
      <c r="G184" s="295"/>
      <c r="H184" s="295"/>
      <c r="I184"/>
    </row>
    <row r="185" spans="1:9" ht="33.75">
      <c r="A185" s="259" t="s">
        <v>494</v>
      </c>
      <c r="B185" s="296" t="s">
        <v>495</v>
      </c>
      <c r="C185" s="260" t="s">
        <v>353</v>
      </c>
      <c r="D185" s="261">
        <v>45062.748811226855</v>
      </c>
      <c r="E185" s="258">
        <v>6</v>
      </c>
      <c r="F185" s="257">
        <v>1455.53</v>
      </c>
      <c r="G185" s="257">
        <v>8733.18</v>
      </c>
      <c r="H185" s="253">
        <v>1.22780980736011E-3</v>
      </c>
      <c r="I185"/>
    </row>
    <row r="186" spans="1:9" ht="15" customHeight="1">
      <c r="A186" s="295"/>
      <c r="B186" s="296"/>
      <c r="C186" s="295"/>
      <c r="D186" s="295"/>
      <c r="E186" s="295"/>
      <c r="F186" s="295"/>
      <c r="G186" s="295"/>
      <c r="H186" s="295"/>
      <c r="I186" s="253"/>
    </row>
    <row r="187" spans="1:9">
      <c r="A187" s="295"/>
      <c r="B187" s="296"/>
      <c r="C187" s="295"/>
      <c r="D187" s="295"/>
      <c r="E187" s="295"/>
      <c r="F187" s="295"/>
      <c r="G187" s="295"/>
      <c r="H187" s="295"/>
      <c r="I187"/>
    </row>
    <row r="188" spans="1:9" ht="15" customHeight="1">
      <c r="A188" s="295"/>
      <c r="B188" s="296"/>
      <c r="C188" s="295"/>
      <c r="D188" s="295"/>
      <c r="E188" s="295"/>
      <c r="F188" s="295"/>
      <c r="G188" s="295"/>
      <c r="H188" s="295"/>
      <c r="I188"/>
    </row>
    <row r="189" spans="1:9">
      <c r="A189" s="295"/>
      <c r="B189" s="296"/>
      <c r="C189" s="295"/>
      <c r="D189" s="295"/>
      <c r="E189" s="295"/>
      <c r="F189" s="295"/>
      <c r="G189" s="295"/>
      <c r="H189" s="295"/>
      <c r="I189"/>
    </row>
    <row r="190" spans="1:9" ht="15" customHeight="1">
      <c r="A190" s="259" t="s">
        <v>631</v>
      </c>
      <c r="B190" s="296" t="s">
        <v>632</v>
      </c>
      <c r="C190" s="260" t="s">
        <v>633</v>
      </c>
      <c r="D190" s="261">
        <v>44756.402673113429</v>
      </c>
      <c r="E190" s="258">
        <v>10.25</v>
      </c>
      <c r="F190" s="257">
        <v>775</v>
      </c>
      <c r="G190" s="257">
        <v>7943.75</v>
      </c>
      <c r="H190" s="253">
        <v>1.11682275611139E-3</v>
      </c>
      <c r="I190" s="253"/>
    </row>
    <row r="191" spans="1:9">
      <c r="A191" s="295"/>
      <c r="B191" s="296"/>
      <c r="C191" s="295"/>
      <c r="D191" s="295"/>
      <c r="E191" s="295"/>
      <c r="F191" s="295"/>
      <c r="G191" s="295"/>
      <c r="H191" s="295"/>
      <c r="I191"/>
    </row>
    <row r="192" spans="1:9" ht="15" customHeight="1">
      <c r="A192" s="259" t="s">
        <v>649</v>
      </c>
      <c r="B192" s="296" t="s">
        <v>650</v>
      </c>
      <c r="C192" s="260" t="s">
        <v>640</v>
      </c>
      <c r="D192" s="261">
        <v>45180.589952546296</v>
      </c>
      <c r="E192" s="258">
        <v>135.19999999999999</v>
      </c>
      <c r="F192" s="257">
        <v>1</v>
      </c>
      <c r="G192" s="257">
        <v>135.19999999999999</v>
      </c>
      <c r="H192" s="253">
        <v>1.9007954256649502E-5</v>
      </c>
      <c r="I192"/>
    </row>
    <row r="193" spans="1:9">
      <c r="A193" s="259" t="s">
        <v>651</v>
      </c>
      <c r="B193" s="296" t="s">
        <v>652</v>
      </c>
      <c r="C193" s="260" t="s">
        <v>640</v>
      </c>
      <c r="D193" s="261">
        <v>45176.662081284725</v>
      </c>
      <c r="E193" s="258">
        <v>37746.449999999997</v>
      </c>
      <c r="F193" s="257">
        <v>1</v>
      </c>
      <c r="G193" s="257">
        <v>37746.449999999997</v>
      </c>
      <c r="H193" s="253">
        <v>5.3068254064416202E-3</v>
      </c>
      <c r="I193"/>
    </row>
    <row r="194" spans="1:9" ht="22.5">
      <c r="A194" s="259" t="s">
        <v>496</v>
      </c>
      <c r="B194" s="296" t="s">
        <v>497</v>
      </c>
      <c r="C194" s="260" t="s">
        <v>353</v>
      </c>
      <c r="D194" s="261">
        <v>45062.748171099534</v>
      </c>
      <c r="E194" s="258">
        <v>6</v>
      </c>
      <c r="F194" s="257">
        <v>13727.62</v>
      </c>
      <c r="G194" s="257">
        <v>82365.72</v>
      </c>
      <c r="H194" s="253">
        <v>1.15799100449408E-2</v>
      </c>
      <c r="I194" s="253"/>
    </row>
    <row r="195" spans="1:9" ht="15" customHeight="1">
      <c r="A195" s="295"/>
      <c r="B195" s="296"/>
      <c r="C195" s="295"/>
      <c r="D195" s="295"/>
      <c r="E195" s="295"/>
      <c r="F195" s="295"/>
      <c r="G195" s="295"/>
      <c r="H195" s="295"/>
      <c r="I195"/>
    </row>
    <row r="196" spans="1:9">
      <c r="A196" s="295"/>
      <c r="B196" s="296"/>
      <c r="C196" s="295"/>
      <c r="D196" s="295"/>
      <c r="E196" s="295"/>
      <c r="F196" s="295"/>
      <c r="G196" s="295"/>
      <c r="H196" s="295"/>
      <c r="I196"/>
    </row>
    <row r="197" spans="1:9" ht="22.5">
      <c r="A197" s="259" t="s">
        <v>498</v>
      </c>
      <c r="B197" s="296" t="s">
        <v>499</v>
      </c>
      <c r="C197" s="260" t="s">
        <v>353</v>
      </c>
      <c r="D197" s="261">
        <v>45182</v>
      </c>
      <c r="E197" s="258">
        <v>8</v>
      </c>
      <c r="F197" s="257">
        <v>1183.74</v>
      </c>
      <c r="G197" s="257">
        <v>9469.92</v>
      </c>
      <c r="H197" s="253">
        <v>1.33138909892108E-3</v>
      </c>
      <c r="I197"/>
    </row>
    <row r="198" spans="1:9">
      <c r="A198" s="295"/>
      <c r="B198" s="296"/>
      <c r="C198" s="295"/>
      <c r="D198" s="295"/>
      <c r="E198" s="295"/>
      <c r="F198" s="295"/>
      <c r="G198" s="295"/>
      <c r="H198" s="295"/>
      <c r="I198" s="253"/>
    </row>
    <row r="199" spans="1:9" ht="15" customHeight="1">
      <c r="A199" s="295"/>
      <c r="B199" s="296"/>
      <c r="C199" s="295"/>
      <c r="D199" s="295"/>
      <c r="E199" s="295"/>
      <c r="F199" s="295"/>
      <c r="G199" s="295"/>
      <c r="H199" s="295"/>
      <c r="I199"/>
    </row>
    <row r="200" spans="1:9">
      <c r="A200" s="295"/>
      <c r="B200" s="296"/>
      <c r="C200" s="295"/>
      <c r="D200" s="295"/>
      <c r="E200" s="295"/>
      <c r="F200" s="295"/>
      <c r="G200" s="295"/>
      <c r="H200" s="295"/>
      <c r="I200"/>
    </row>
    <row r="201" spans="1:9" ht="22.5">
      <c r="A201" s="259" t="s">
        <v>500</v>
      </c>
      <c r="B201" s="296" t="s">
        <v>501</v>
      </c>
      <c r="C201" s="260" t="s">
        <v>353</v>
      </c>
      <c r="D201" s="261">
        <v>45182</v>
      </c>
      <c r="E201" s="258">
        <v>8</v>
      </c>
      <c r="F201" s="257">
        <v>4895.1099999999997</v>
      </c>
      <c r="G201" s="257">
        <v>39160.879999999997</v>
      </c>
      <c r="H201" s="253">
        <v>5.5056820687140601E-3</v>
      </c>
      <c r="I201" s="253"/>
    </row>
    <row r="202" spans="1:9">
      <c r="A202" s="295"/>
      <c r="B202" s="296"/>
      <c r="C202" s="295"/>
      <c r="D202" s="295"/>
      <c r="E202" s="295"/>
      <c r="F202" s="295"/>
      <c r="G202" s="295"/>
      <c r="H202" s="295"/>
      <c r="I202"/>
    </row>
    <row r="203" spans="1:9" ht="15" customHeight="1">
      <c r="A203" s="295"/>
      <c r="B203" s="296"/>
      <c r="C203" s="295"/>
      <c r="D203" s="295"/>
      <c r="E203" s="295"/>
      <c r="F203" s="295"/>
      <c r="G203" s="295"/>
      <c r="H203" s="295"/>
      <c r="I203"/>
    </row>
    <row r="204" spans="1:9">
      <c r="A204" s="295"/>
      <c r="B204" s="296"/>
      <c r="C204" s="295"/>
      <c r="D204" s="295"/>
      <c r="E204" s="295"/>
      <c r="F204" s="295"/>
      <c r="G204" s="295"/>
      <c r="H204" s="295"/>
      <c r="I204" s="253"/>
    </row>
    <row r="205" spans="1:9" ht="33.75">
      <c r="A205" s="259" t="s">
        <v>502</v>
      </c>
      <c r="B205" s="296" t="s">
        <v>503</v>
      </c>
      <c r="C205" s="260" t="s">
        <v>353</v>
      </c>
      <c r="D205" s="261">
        <v>45183</v>
      </c>
      <c r="E205" s="258">
        <v>1</v>
      </c>
      <c r="F205" s="257">
        <v>9301.43</v>
      </c>
      <c r="G205" s="257">
        <v>9301.43</v>
      </c>
      <c r="H205" s="253">
        <v>1.3077008577028601E-3</v>
      </c>
      <c r="I205"/>
    </row>
    <row r="206" spans="1:9">
      <c r="A206" s="295"/>
      <c r="B206" s="296"/>
      <c r="C206" s="295"/>
      <c r="D206" s="295"/>
      <c r="E206" s="295"/>
      <c r="F206" s="295"/>
      <c r="G206" s="295"/>
      <c r="H206" s="295"/>
      <c r="I206"/>
    </row>
    <row r="207" spans="1:9" ht="15" customHeight="1">
      <c r="A207" s="295"/>
      <c r="B207" s="296"/>
      <c r="C207" s="295"/>
      <c r="D207" s="295"/>
      <c r="E207" s="295"/>
      <c r="F207" s="295"/>
      <c r="G207" s="295"/>
      <c r="H207" s="295"/>
      <c r="I207" s="253"/>
    </row>
    <row r="208" spans="1:9">
      <c r="A208" s="295"/>
      <c r="B208" s="296"/>
      <c r="C208" s="295"/>
      <c r="D208" s="295"/>
      <c r="E208" s="295"/>
      <c r="F208" s="295"/>
      <c r="G208" s="295"/>
      <c r="H208" s="295"/>
      <c r="I208"/>
    </row>
    <row r="209" spans="1:9" ht="22.5">
      <c r="A209" s="259" t="s">
        <v>506</v>
      </c>
      <c r="B209" s="296" t="s">
        <v>507</v>
      </c>
      <c r="C209" s="260" t="s">
        <v>353</v>
      </c>
      <c r="D209" s="261">
        <v>45182.787176388891</v>
      </c>
      <c r="E209" s="258">
        <v>10</v>
      </c>
      <c r="F209" s="257">
        <v>170</v>
      </c>
      <c r="G209" s="257">
        <v>1700</v>
      </c>
      <c r="H209" s="253">
        <v>2.3900534198449799E-4</v>
      </c>
      <c r="I209"/>
    </row>
    <row r="210" spans="1:9">
      <c r="A210" s="295"/>
      <c r="B210" s="296"/>
      <c r="C210" s="295"/>
      <c r="D210" s="295"/>
      <c r="E210" s="295"/>
      <c r="F210" s="295"/>
      <c r="G210" s="295"/>
      <c r="H210" s="295"/>
      <c r="I210" s="253"/>
    </row>
    <row r="211" spans="1:9">
      <c r="A211" s="295"/>
      <c r="B211" s="296"/>
      <c r="C211" s="295"/>
      <c r="D211" s="295"/>
      <c r="E211" s="295"/>
      <c r="F211" s="295"/>
      <c r="G211" s="295"/>
      <c r="H211" s="295"/>
      <c r="I211"/>
    </row>
    <row r="212" spans="1:9" ht="15" customHeight="1">
      <c r="A212" s="259" t="s">
        <v>504</v>
      </c>
      <c r="B212" s="296" t="s">
        <v>505</v>
      </c>
      <c r="C212" s="260" t="s">
        <v>353</v>
      </c>
      <c r="D212" s="261">
        <v>45182.749748495371</v>
      </c>
      <c r="E212" s="258">
        <v>50</v>
      </c>
      <c r="F212" s="257">
        <v>686.46</v>
      </c>
      <c r="G212" s="257">
        <v>34323</v>
      </c>
      <c r="H212" s="253">
        <v>4.82551785466702E-3</v>
      </c>
      <c r="I212"/>
    </row>
    <row r="213" spans="1:9">
      <c r="A213" s="295"/>
      <c r="B213" s="296"/>
      <c r="C213" s="295"/>
      <c r="D213" s="295"/>
      <c r="E213" s="295"/>
      <c r="F213" s="295"/>
      <c r="G213" s="295"/>
      <c r="H213" s="295"/>
      <c r="I213" s="253"/>
    </row>
    <row r="214" spans="1:9">
      <c r="A214" s="295"/>
      <c r="B214" s="296"/>
      <c r="C214" s="295"/>
      <c r="D214" s="295"/>
      <c r="E214" s="295"/>
      <c r="F214" s="295"/>
      <c r="G214" s="295"/>
      <c r="H214" s="295"/>
      <c r="I214"/>
    </row>
    <row r="215" spans="1:9" ht="22.5">
      <c r="A215" s="259" t="s">
        <v>508</v>
      </c>
      <c r="B215" s="296" t="s">
        <v>509</v>
      </c>
      <c r="C215" s="260" t="s">
        <v>353</v>
      </c>
      <c r="D215" s="261">
        <v>45182.786391979163</v>
      </c>
      <c r="E215" s="258">
        <v>44</v>
      </c>
      <c r="F215" s="257">
        <v>170</v>
      </c>
      <c r="G215" s="257">
        <v>7480</v>
      </c>
      <c r="H215" s="253">
        <v>1.05162350473179E-3</v>
      </c>
      <c r="I215"/>
    </row>
    <row r="216" spans="1:9" ht="15" customHeight="1">
      <c r="A216" s="295"/>
      <c r="B216" s="296"/>
      <c r="C216" s="295"/>
      <c r="D216" s="295"/>
      <c r="E216" s="295"/>
      <c r="F216" s="295"/>
      <c r="G216" s="295"/>
      <c r="H216" s="295"/>
      <c r="I216" s="253"/>
    </row>
    <row r="217" spans="1:9">
      <c r="A217" s="295"/>
      <c r="B217" s="296"/>
      <c r="C217" s="295"/>
      <c r="D217" s="295"/>
      <c r="E217" s="295"/>
      <c r="F217" s="295"/>
      <c r="G217" s="295"/>
      <c r="H217" s="295"/>
      <c r="I217"/>
    </row>
    <row r="218" spans="1:9" ht="22.5">
      <c r="A218" s="259" t="s">
        <v>510</v>
      </c>
      <c r="B218" s="296" t="s">
        <v>511</v>
      </c>
      <c r="C218" s="260" t="s">
        <v>353</v>
      </c>
      <c r="D218" s="261">
        <v>45629.54168545139</v>
      </c>
      <c r="E218" s="258">
        <v>4</v>
      </c>
      <c r="F218" s="257">
        <v>650</v>
      </c>
      <c r="G218" s="257">
        <v>2600</v>
      </c>
      <c r="H218" s="253">
        <v>3.6553758185864398E-4</v>
      </c>
      <c r="I218"/>
    </row>
    <row r="219" spans="1:9">
      <c r="A219" s="295"/>
      <c r="B219" s="296"/>
      <c r="C219" s="295"/>
      <c r="D219" s="295"/>
      <c r="E219" s="295"/>
      <c r="F219" s="295"/>
      <c r="G219" s="295"/>
      <c r="H219" s="295"/>
      <c r="I219" s="253"/>
    </row>
    <row r="220" spans="1:9" ht="15" customHeight="1">
      <c r="A220" s="295"/>
      <c r="B220" s="296"/>
      <c r="C220" s="295"/>
      <c r="D220" s="295"/>
      <c r="E220" s="295"/>
      <c r="F220" s="295"/>
      <c r="G220" s="295"/>
      <c r="H220" s="295"/>
      <c r="I220"/>
    </row>
    <row r="221" spans="1:9" ht="22.5">
      <c r="A221" s="259" t="s">
        <v>512</v>
      </c>
      <c r="B221" s="296" t="s">
        <v>513</v>
      </c>
      <c r="C221" s="260" t="s">
        <v>353</v>
      </c>
      <c r="D221" s="261">
        <v>45629.555911805553</v>
      </c>
      <c r="E221" s="258">
        <v>2</v>
      </c>
      <c r="F221" s="257">
        <v>9397.2999999999993</v>
      </c>
      <c r="G221" s="257">
        <v>18794.599999999999</v>
      </c>
      <c r="H221" s="253">
        <v>2.6423587061540298E-3</v>
      </c>
      <c r="I221"/>
    </row>
    <row r="222" spans="1:9">
      <c r="A222" s="295"/>
      <c r="B222" s="296"/>
      <c r="C222" s="295"/>
      <c r="D222" s="295"/>
      <c r="E222" s="295"/>
      <c r="F222" s="295"/>
      <c r="G222" s="295"/>
      <c r="H222" s="295"/>
      <c r="I222" s="253"/>
    </row>
    <row r="223" spans="1:9">
      <c r="A223" s="295"/>
      <c r="B223" s="296"/>
      <c r="C223" s="295"/>
      <c r="D223" s="295"/>
      <c r="E223" s="295"/>
      <c r="F223" s="295"/>
      <c r="G223" s="295"/>
      <c r="H223" s="295"/>
      <c r="I223"/>
    </row>
    <row r="224" spans="1:9" ht="15" customHeight="1">
      <c r="A224" s="259" t="s">
        <v>514</v>
      </c>
      <c r="B224" s="296" t="s">
        <v>515</v>
      </c>
      <c r="C224" s="260" t="s">
        <v>353</v>
      </c>
      <c r="D224" s="261">
        <v>45182.745577581016</v>
      </c>
      <c r="E224" s="258">
        <v>3</v>
      </c>
      <c r="F224" s="257">
        <v>13153.37</v>
      </c>
      <c r="G224" s="257">
        <v>39460.11</v>
      </c>
      <c r="H224" s="253">
        <v>5.5477512266446597E-3</v>
      </c>
      <c r="I224"/>
    </row>
    <row r="225" spans="1:9">
      <c r="A225" s="295"/>
      <c r="B225" s="296"/>
      <c r="C225" s="295"/>
      <c r="D225" s="295"/>
      <c r="E225" s="295"/>
      <c r="F225" s="295"/>
      <c r="G225" s="295"/>
      <c r="H225" s="295"/>
      <c r="I225" s="253"/>
    </row>
    <row r="226" spans="1:9">
      <c r="A226" s="295"/>
      <c r="B226" s="296"/>
      <c r="C226" s="295"/>
      <c r="D226" s="295"/>
      <c r="E226" s="295"/>
      <c r="F226" s="295"/>
      <c r="G226" s="295"/>
      <c r="H226" s="295"/>
      <c r="I226"/>
    </row>
    <row r="227" spans="1:9" ht="15" customHeight="1">
      <c r="A227" s="259" t="s">
        <v>516</v>
      </c>
      <c r="B227" s="296" t="s">
        <v>517</v>
      </c>
      <c r="C227" s="260" t="s">
        <v>353</v>
      </c>
      <c r="D227" s="261">
        <v>45183.613280520833</v>
      </c>
      <c r="E227" s="258">
        <v>2</v>
      </c>
      <c r="F227" s="257">
        <v>1622.08</v>
      </c>
      <c r="G227" s="257">
        <v>3244.16</v>
      </c>
      <c r="H227" s="253">
        <v>4.5610092367789998E-4</v>
      </c>
      <c r="I227" s="253"/>
    </row>
    <row r="228" spans="1:9">
      <c r="A228" s="295"/>
      <c r="B228" s="296"/>
      <c r="C228" s="295"/>
      <c r="D228" s="295"/>
      <c r="E228" s="295"/>
      <c r="F228" s="295"/>
      <c r="G228" s="295"/>
      <c r="H228" s="295"/>
      <c r="I228"/>
    </row>
    <row r="229" spans="1:9" ht="15" customHeight="1">
      <c r="A229" s="295"/>
      <c r="B229" s="296"/>
      <c r="C229" s="295"/>
      <c r="D229" s="295"/>
      <c r="E229" s="295"/>
      <c r="F229" s="295"/>
      <c r="G229" s="295"/>
      <c r="H229" s="295"/>
      <c r="I229" s="253"/>
    </row>
    <row r="230" spans="1:9" ht="22.5">
      <c r="A230" s="259" t="s">
        <v>518</v>
      </c>
      <c r="B230" s="296" t="s">
        <v>519</v>
      </c>
      <c r="C230" s="260" t="s">
        <v>353</v>
      </c>
      <c r="D230" s="261">
        <v>45183.610059259256</v>
      </c>
      <c r="E230" s="258">
        <v>1</v>
      </c>
      <c r="F230" s="257">
        <v>7296.05</v>
      </c>
      <c r="G230" s="257">
        <v>7296.05</v>
      </c>
      <c r="H230" s="253">
        <v>1.0257617208152901E-3</v>
      </c>
      <c r="I230"/>
    </row>
    <row r="231" spans="1:9" ht="15" customHeight="1">
      <c r="A231" s="295"/>
      <c r="B231" s="296"/>
      <c r="C231" s="295"/>
      <c r="D231" s="295"/>
      <c r="E231" s="295"/>
      <c r="F231" s="295"/>
      <c r="G231" s="295"/>
      <c r="H231" s="295"/>
      <c r="I231" s="253"/>
    </row>
    <row r="232" spans="1:9">
      <c r="A232" s="295"/>
      <c r="B232" s="296"/>
      <c r="C232" s="295"/>
      <c r="D232" s="295"/>
      <c r="E232" s="295"/>
      <c r="F232" s="295"/>
      <c r="G232" s="295"/>
      <c r="H232" s="295"/>
      <c r="I232"/>
    </row>
    <row r="233" spans="1:9" ht="15" customHeight="1">
      <c r="A233" s="259" t="s">
        <v>520</v>
      </c>
      <c r="B233" s="296" t="s">
        <v>521</v>
      </c>
      <c r="C233" s="260" t="s">
        <v>353</v>
      </c>
      <c r="D233" s="261">
        <v>45629.69979702546</v>
      </c>
      <c r="E233" s="258">
        <v>29</v>
      </c>
      <c r="F233" s="257">
        <v>1439.92</v>
      </c>
      <c r="G233" s="257">
        <v>41757.68</v>
      </c>
      <c r="H233" s="253">
        <v>5.8707697581642602E-3</v>
      </c>
      <c r="I233" s="253"/>
    </row>
    <row r="234" spans="1:9">
      <c r="A234" s="295"/>
      <c r="B234" s="296"/>
      <c r="C234" s="295"/>
      <c r="D234" s="295"/>
      <c r="E234" s="295"/>
      <c r="F234" s="295"/>
      <c r="G234" s="295"/>
      <c r="H234" s="295"/>
      <c r="I234" s="253"/>
    </row>
    <row r="235" spans="1:9" ht="15" customHeight="1">
      <c r="A235" s="295"/>
      <c r="B235" s="296"/>
      <c r="C235" s="295"/>
      <c r="D235" s="295"/>
      <c r="E235" s="295"/>
      <c r="F235" s="295"/>
      <c r="G235" s="295"/>
      <c r="H235" s="295"/>
      <c r="I235"/>
    </row>
    <row r="236" spans="1:9" ht="22.5">
      <c r="A236" s="259" t="s">
        <v>522</v>
      </c>
      <c r="B236" s="296" t="s">
        <v>523</v>
      </c>
      <c r="C236" s="260" t="s">
        <v>353</v>
      </c>
      <c r="D236" s="261">
        <v>45183</v>
      </c>
      <c r="E236" s="258">
        <v>30</v>
      </c>
      <c r="F236" s="257">
        <v>261.13</v>
      </c>
      <c r="G236" s="257">
        <v>7833.9</v>
      </c>
      <c r="H236" s="253">
        <v>1.1013787932778599E-3</v>
      </c>
      <c r="I236" s="253"/>
    </row>
    <row r="237" spans="1:9">
      <c r="A237" s="295"/>
      <c r="B237" s="296"/>
      <c r="C237" s="295"/>
      <c r="D237" s="295"/>
      <c r="E237" s="295"/>
      <c r="F237" s="295"/>
      <c r="G237" s="295"/>
      <c r="H237" s="295"/>
      <c r="I237"/>
    </row>
    <row r="238" spans="1:9" ht="15" customHeight="1">
      <c r="A238" s="259" t="s">
        <v>524</v>
      </c>
      <c r="B238" s="296" t="s">
        <v>525</v>
      </c>
      <c r="C238" s="260" t="s">
        <v>353</v>
      </c>
      <c r="D238" s="261">
        <v>45644.681273576389</v>
      </c>
      <c r="E238" s="258">
        <v>235</v>
      </c>
      <c r="F238" s="257">
        <v>9000</v>
      </c>
      <c r="G238" s="257">
        <v>2115000</v>
      </c>
      <c r="H238" s="253">
        <v>0.29735076370424302</v>
      </c>
      <c r="I238" s="253"/>
    </row>
    <row r="239" spans="1:9">
      <c r="A239" s="295"/>
      <c r="B239" s="296"/>
      <c r="C239" s="295"/>
      <c r="D239" s="295"/>
      <c r="E239" s="295"/>
      <c r="F239" s="295"/>
      <c r="G239" s="295"/>
      <c r="H239" s="295"/>
      <c r="I239"/>
    </row>
    <row r="240" spans="1:9">
      <c r="A240" s="259" t="s">
        <v>526</v>
      </c>
      <c r="B240" s="296" t="s">
        <v>527</v>
      </c>
      <c r="C240" s="260" t="s">
        <v>353</v>
      </c>
      <c r="D240" s="261">
        <v>45629.699267326389</v>
      </c>
      <c r="E240" s="258">
        <v>126</v>
      </c>
      <c r="F240" s="257">
        <v>1271</v>
      </c>
      <c r="G240" s="257">
        <v>160146</v>
      </c>
      <c r="H240" s="253">
        <v>2.2515146763205599E-2</v>
      </c>
      <c r="I240" s="253"/>
    </row>
    <row r="241" spans="1:9">
      <c r="A241" s="295"/>
      <c r="B241" s="296"/>
      <c r="C241" s="295"/>
      <c r="D241" s="295"/>
      <c r="E241" s="295"/>
      <c r="F241" s="295"/>
      <c r="G241" s="295"/>
      <c r="H241" s="295"/>
      <c r="I241" s="253"/>
    </row>
    <row r="242" spans="1:9">
      <c r="A242" s="259" t="s">
        <v>528</v>
      </c>
      <c r="B242" s="296" t="s">
        <v>529</v>
      </c>
      <c r="C242" s="260" t="s">
        <v>353</v>
      </c>
      <c r="D242" s="261">
        <v>45629.691697534719</v>
      </c>
      <c r="E242" s="258">
        <v>99</v>
      </c>
      <c r="F242" s="257">
        <v>662.95</v>
      </c>
      <c r="G242" s="257">
        <v>65632.05</v>
      </c>
      <c r="H242" s="253">
        <v>9.2273003267021592E-3</v>
      </c>
      <c r="I242"/>
    </row>
    <row r="243" spans="1:9" ht="15" customHeight="1">
      <c r="A243" s="295"/>
      <c r="B243" s="296"/>
      <c r="C243" s="295"/>
      <c r="D243" s="295"/>
      <c r="E243" s="295"/>
      <c r="F243" s="295"/>
      <c r="G243" s="295"/>
      <c r="H243" s="295"/>
      <c r="I243"/>
    </row>
    <row r="244" spans="1:9">
      <c r="A244" s="259" t="s">
        <v>653</v>
      </c>
      <c r="B244" s="296" t="s">
        <v>654</v>
      </c>
      <c r="C244" s="260" t="s">
        <v>640</v>
      </c>
      <c r="D244" s="261">
        <v>45681</v>
      </c>
      <c r="E244" s="258">
        <v>3166.57</v>
      </c>
      <c r="F244" s="257">
        <v>1</v>
      </c>
      <c r="G244" s="257">
        <v>3166.57</v>
      </c>
      <c r="H244" s="253">
        <v>4.4519243868697202E-4</v>
      </c>
      <c r="I244" s="253"/>
    </row>
    <row r="245" spans="1:9">
      <c r="A245" s="259" t="s">
        <v>655</v>
      </c>
      <c r="B245" s="296" t="s">
        <v>656</v>
      </c>
      <c r="C245" s="260" t="s">
        <v>640</v>
      </c>
      <c r="D245" s="261">
        <v>45090.742361226854</v>
      </c>
      <c r="E245" s="258">
        <v>2414.6999999999998</v>
      </c>
      <c r="F245" s="257">
        <v>1</v>
      </c>
      <c r="G245" s="257">
        <v>2414.6999999999998</v>
      </c>
      <c r="H245" s="253">
        <v>3.39485999582334E-4</v>
      </c>
      <c r="I245"/>
    </row>
    <row r="246" spans="1:9" ht="15" customHeight="1">
      <c r="A246" s="259" t="s">
        <v>530</v>
      </c>
      <c r="B246" s="296" t="s">
        <v>531</v>
      </c>
      <c r="C246" s="260" t="s">
        <v>353</v>
      </c>
      <c r="D246" s="261">
        <v>45183</v>
      </c>
      <c r="E246" s="258">
        <v>1</v>
      </c>
      <c r="F246" s="257">
        <v>19.510000000000002</v>
      </c>
      <c r="G246" s="257">
        <v>19.510000000000002</v>
      </c>
      <c r="H246" s="253">
        <v>2.7429377777162101E-6</v>
      </c>
      <c r="I246"/>
    </row>
    <row r="247" spans="1:9">
      <c r="A247" s="259" t="s">
        <v>532</v>
      </c>
      <c r="B247" s="296" t="s">
        <v>533</v>
      </c>
      <c r="C247" s="260" t="s">
        <v>353</v>
      </c>
      <c r="D247" s="261">
        <v>44811.578328506941</v>
      </c>
      <c r="E247" s="258">
        <v>0</v>
      </c>
      <c r="F247" s="257">
        <v>3.65</v>
      </c>
      <c r="G247" s="257">
        <v>0</v>
      </c>
      <c r="H247" s="253">
        <v>0</v>
      </c>
      <c r="I247" s="253"/>
    </row>
    <row r="248" spans="1:9" ht="15" customHeight="1">
      <c r="A248" s="295"/>
      <c r="B248" s="296"/>
      <c r="C248" s="295"/>
      <c r="D248" s="295"/>
      <c r="E248" s="295"/>
      <c r="F248" s="295"/>
      <c r="G248" s="295"/>
      <c r="H248" s="295"/>
      <c r="I248" s="253"/>
    </row>
    <row r="249" spans="1:9">
      <c r="A249" s="259" t="s">
        <v>534</v>
      </c>
      <c r="B249" s="296" t="s">
        <v>535</v>
      </c>
      <c r="C249" s="260" t="s">
        <v>353</v>
      </c>
      <c r="D249" s="261">
        <v>44810</v>
      </c>
      <c r="E249" s="258">
        <v>28.9</v>
      </c>
      <c r="F249" s="257">
        <v>32.76</v>
      </c>
      <c r="G249" s="257">
        <v>946.76</v>
      </c>
      <c r="H249" s="253">
        <v>1.33106292692496E-4</v>
      </c>
      <c r="I249" s="253"/>
    </row>
    <row r="250" spans="1:9" ht="15" customHeight="1">
      <c r="A250" s="295"/>
      <c r="B250" s="296"/>
      <c r="C250" s="295"/>
      <c r="D250" s="295"/>
      <c r="E250" s="295"/>
      <c r="F250" s="295"/>
      <c r="G250" s="295"/>
      <c r="H250" s="295"/>
      <c r="I250" s="253"/>
    </row>
    <row r="251" spans="1:9">
      <c r="A251" s="259" t="s">
        <v>536</v>
      </c>
      <c r="B251" s="296" t="s">
        <v>537</v>
      </c>
      <c r="C251" s="260" t="s">
        <v>353</v>
      </c>
      <c r="D251" s="261">
        <v>44810</v>
      </c>
      <c r="E251" s="258">
        <v>3210.5935610000001</v>
      </c>
      <c r="F251" s="257">
        <v>38.72</v>
      </c>
      <c r="G251" s="257">
        <v>124314.18</v>
      </c>
      <c r="H251" s="253">
        <v>1.7477501826130899E-2</v>
      </c>
      <c r="I251" s="253"/>
    </row>
    <row r="252" spans="1:9" ht="15" customHeight="1">
      <c r="A252" s="295"/>
      <c r="B252" s="296"/>
      <c r="C252" s="295"/>
      <c r="D252" s="295"/>
      <c r="E252" s="295"/>
      <c r="F252" s="295"/>
      <c r="G252" s="295"/>
      <c r="H252" s="295"/>
      <c r="I252"/>
    </row>
    <row r="253" spans="1:9">
      <c r="A253" s="259" t="s">
        <v>538</v>
      </c>
      <c r="B253" s="296" t="s">
        <v>539</v>
      </c>
      <c r="C253" s="260" t="s">
        <v>353</v>
      </c>
      <c r="D253" s="261">
        <v>44825.492526076392</v>
      </c>
      <c r="E253" s="258">
        <v>528</v>
      </c>
      <c r="F253" s="257">
        <v>13.5</v>
      </c>
      <c r="G253" s="257">
        <v>7128</v>
      </c>
      <c r="H253" s="253">
        <v>1.0021353398032399E-3</v>
      </c>
      <c r="I253"/>
    </row>
    <row r="254" spans="1:9" ht="15" customHeight="1">
      <c r="A254" s="259" t="s">
        <v>634</v>
      </c>
      <c r="B254" s="296" t="s">
        <v>635</v>
      </c>
      <c r="C254" s="260" t="s">
        <v>628</v>
      </c>
      <c r="D254" s="261">
        <v>45183.513965821759</v>
      </c>
      <c r="E254" s="258">
        <v>666.02745368000001</v>
      </c>
      <c r="F254" s="257">
        <v>732.85</v>
      </c>
      <c r="G254" s="257">
        <v>488098.22</v>
      </c>
      <c r="H254" s="253">
        <v>6.8622401172426406E-2</v>
      </c>
      <c r="I254" s="253"/>
    </row>
    <row r="255" spans="1:9">
      <c r="A255" s="259" t="s">
        <v>636</v>
      </c>
      <c r="B255" s="296" t="s">
        <v>637</v>
      </c>
      <c r="C255" s="260" t="s">
        <v>628</v>
      </c>
      <c r="D255" s="261">
        <v>45068.51706878472</v>
      </c>
      <c r="E255" s="258">
        <v>4.7619050000000003E-2</v>
      </c>
      <c r="F255" s="257">
        <v>816.66</v>
      </c>
      <c r="G255" s="257">
        <v>38.89</v>
      </c>
      <c r="H255" s="253">
        <v>5.4675986763394898E-6</v>
      </c>
      <c r="I255" s="253"/>
    </row>
    <row r="256" spans="1:9" ht="22.5">
      <c r="A256" s="259" t="s">
        <v>540</v>
      </c>
      <c r="B256" s="296" t="s">
        <v>541</v>
      </c>
      <c r="C256" s="260" t="s">
        <v>353</v>
      </c>
      <c r="D256" s="261">
        <v>44811.443085763887</v>
      </c>
      <c r="E256" s="258">
        <v>204.93706895</v>
      </c>
      <c r="F256" s="257">
        <v>181.2</v>
      </c>
      <c r="G256" s="257">
        <v>37134.6</v>
      </c>
      <c r="H256" s="253">
        <v>5.2208045720338499E-3</v>
      </c>
      <c r="I256"/>
    </row>
    <row r="257" spans="1:9">
      <c r="A257" s="295"/>
      <c r="B257" s="296"/>
      <c r="C257" s="295"/>
      <c r="D257" s="295"/>
      <c r="E257" s="295"/>
      <c r="F257" s="295"/>
      <c r="G257" s="295"/>
      <c r="H257" s="295"/>
      <c r="I257" s="253"/>
    </row>
    <row r="258" spans="1:9" ht="15" customHeight="1">
      <c r="A258" s="295"/>
      <c r="B258" s="296"/>
      <c r="C258" s="295"/>
      <c r="D258" s="295"/>
      <c r="E258" s="295"/>
      <c r="F258" s="295"/>
      <c r="G258" s="295"/>
      <c r="H258" s="295"/>
      <c r="I258"/>
    </row>
    <row r="259" spans="1:9" ht="22.5">
      <c r="A259" s="259" t="s">
        <v>542</v>
      </c>
      <c r="B259" s="296" t="s">
        <v>543</v>
      </c>
      <c r="C259" s="260" t="s">
        <v>353</v>
      </c>
      <c r="D259" s="261">
        <v>44984.459639236113</v>
      </c>
      <c r="E259" s="258">
        <v>4.3807631499999999</v>
      </c>
      <c r="F259" s="257">
        <v>465</v>
      </c>
      <c r="G259" s="257">
        <v>2037.05</v>
      </c>
      <c r="H259" s="253">
        <v>2.8639166581736602E-4</v>
      </c>
      <c r="I259" s="253"/>
    </row>
    <row r="260" spans="1:9" ht="15" customHeight="1">
      <c r="A260" s="295"/>
      <c r="B260" s="296"/>
      <c r="C260" s="295"/>
      <c r="D260" s="295"/>
      <c r="E260" s="295"/>
      <c r="F260" s="295"/>
      <c r="G260" s="295"/>
      <c r="H260" s="295"/>
      <c r="I260"/>
    </row>
    <row r="261" spans="1:9">
      <c r="A261" s="295"/>
      <c r="B261" s="296"/>
      <c r="C261" s="295"/>
      <c r="D261" s="295"/>
      <c r="E261" s="295"/>
      <c r="F261" s="295"/>
      <c r="G261" s="295"/>
      <c r="H261" s="295"/>
      <c r="I261"/>
    </row>
    <row r="262" spans="1:9">
      <c r="A262" s="259" t="s">
        <v>544</v>
      </c>
      <c r="B262" s="296" t="s">
        <v>545</v>
      </c>
      <c r="C262" s="260" t="s">
        <v>353</v>
      </c>
      <c r="D262" s="261">
        <v>44781</v>
      </c>
      <c r="E262" s="258">
        <v>254.96973800000001</v>
      </c>
      <c r="F262" s="257">
        <v>0.38</v>
      </c>
      <c r="G262" s="257">
        <v>96.89</v>
      </c>
      <c r="H262" s="253">
        <v>1.3621898579340001E-5</v>
      </c>
      <c r="I262" s="253"/>
    </row>
    <row r="263" spans="1:9" ht="15" customHeight="1">
      <c r="A263" s="259" t="s">
        <v>546</v>
      </c>
      <c r="B263" s="296" t="s">
        <v>547</v>
      </c>
      <c r="C263" s="260" t="s">
        <v>353</v>
      </c>
      <c r="D263" s="261">
        <v>44809.510018865738</v>
      </c>
      <c r="E263" s="258">
        <v>60</v>
      </c>
      <c r="F263" s="257">
        <v>2.2000000000000002</v>
      </c>
      <c r="G263" s="257">
        <v>132</v>
      </c>
      <c r="H263" s="253">
        <v>1.8558061848208102E-5</v>
      </c>
      <c r="I263"/>
    </row>
    <row r="264" spans="1:9">
      <c r="A264" s="259" t="s">
        <v>548</v>
      </c>
      <c r="B264" s="296" t="s">
        <v>549</v>
      </c>
      <c r="C264" s="260" t="s">
        <v>353</v>
      </c>
      <c r="D264" s="261">
        <v>45183.637690358795</v>
      </c>
      <c r="E264" s="258">
        <v>34</v>
      </c>
      <c r="F264" s="257">
        <v>45.43</v>
      </c>
      <c r="G264" s="257">
        <v>1544.62</v>
      </c>
      <c r="H264" s="253">
        <v>2.1716025372711499E-4</v>
      </c>
      <c r="I264"/>
    </row>
    <row r="265" spans="1:9">
      <c r="A265" s="259" t="s">
        <v>550</v>
      </c>
      <c r="B265" s="296" t="s">
        <v>551</v>
      </c>
      <c r="C265" s="260" t="s">
        <v>353</v>
      </c>
      <c r="D265" s="261">
        <v>45104.560555057869</v>
      </c>
      <c r="E265" s="258">
        <v>57</v>
      </c>
      <c r="F265" s="257">
        <v>56.14</v>
      </c>
      <c r="G265" s="257">
        <v>3199.98</v>
      </c>
      <c r="H265" s="253">
        <v>4.49889596613856E-4</v>
      </c>
      <c r="I265" s="253"/>
    </row>
    <row r="266" spans="1:9" ht="15" customHeight="1">
      <c r="A266" s="259" t="s">
        <v>552</v>
      </c>
      <c r="B266" s="296" t="s">
        <v>553</v>
      </c>
      <c r="C266" s="260" t="s">
        <v>353</v>
      </c>
      <c r="D266" s="261">
        <v>44846.58693109954</v>
      </c>
      <c r="E266" s="258">
        <v>30</v>
      </c>
      <c r="F266" s="257">
        <v>8.5</v>
      </c>
      <c r="G266" s="257">
        <v>255</v>
      </c>
      <c r="H266" s="253">
        <v>3.5850801297674701E-5</v>
      </c>
      <c r="I266"/>
    </row>
    <row r="267" spans="1:9">
      <c r="A267" s="295"/>
      <c r="B267" s="296"/>
      <c r="C267" s="295"/>
      <c r="D267" s="295"/>
      <c r="E267" s="295"/>
      <c r="F267" s="295"/>
      <c r="G267" s="295"/>
      <c r="H267" s="295"/>
      <c r="I267"/>
    </row>
    <row r="268" spans="1:9">
      <c r="A268" s="295"/>
      <c r="B268" s="296"/>
      <c r="C268" s="295"/>
      <c r="D268" s="295"/>
      <c r="E268" s="295"/>
      <c r="F268" s="295"/>
      <c r="G268" s="295"/>
      <c r="H268" s="295"/>
      <c r="I268" s="253"/>
    </row>
    <row r="269" spans="1:9" ht="15" customHeight="1">
      <c r="A269" s="259" t="s">
        <v>554</v>
      </c>
      <c r="B269" s="296" t="s">
        <v>555</v>
      </c>
      <c r="C269" s="260" t="s">
        <v>353</v>
      </c>
      <c r="D269" s="261">
        <v>45181.724702743057</v>
      </c>
      <c r="E269" s="258">
        <v>25</v>
      </c>
      <c r="F269" s="257">
        <v>93</v>
      </c>
      <c r="G269" s="257">
        <v>2325</v>
      </c>
      <c r="H269" s="253">
        <v>3.2687495300821098E-4</v>
      </c>
      <c r="I269" s="253"/>
    </row>
    <row r="270" spans="1:9">
      <c r="A270" s="259" t="s">
        <v>556</v>
      </c>
      <c r="B270" s="296" t="s">
        <v>557</v>
      </c>
      <c r="C270" s="260" t="s">
        <v>353</v>
      </c>
      <c r="D270" s="261">
        <v>45182.612512997686</v>
      </c>
      <c r="E270" s="258">
        <v>25.688904000000001</v>
      </c>
      <c r="F270" s="257">
        <v>112</v>
      </c>
      <c r="G270" s="257">
        <v>2877.16</v>
      </c>
      <c r="H270" s="253">
        <v>4.0450388808477598E-4</v>
      </c>
      <c r="I270"/>
    </row>
    <row r="271" spans="1:9">
      <c r="A271" s="295"/>
      <c r="B271" s="296"/>
      <c r="C271" s="295"/>
      <c r="D271" s="295"/>
      <c r="E271" s="295"/>
      <c r="F271" s="295"/>
      <c r="G271" s="295"/>
      <c r="H271" s="295"/>
      <c r="I271"/>
    </row>
    <row r="272" spans="1:9" ht="15" customHeight="1">
      <c r="A272" s="259" t="s">
        <v>558</v>
      </c>
      <c r="B272" s="296" t="s">
        <v>559</v>
      </c>
      <c r="C272" s="260" t="s">
        <v>353</v>
      </c>
      <c r="D272" s="261">
        <v>45183</v>
      </c>
      <c r="E272" s="258">
        <v>1</v>
      </c>
      <c r="F272" s="257">
        <v>19.510000000000002</v>
      </c>
      <c r="G272" s="257">
        <v>19.510000000000002</v>
      </c>
      <c r="H272" s="253">
        <v>2.7429377777162101E-6</v>
      </c>
      <c r="I272"/>
    </row>
    <row r="273" spans="1:9">
      <c r="A273" s="295"/>
      <c r="B273" s="296"/>
      <c r="C273" s="295"/>
      <c r="D273" s="295"/>
      <c r="E273" s="295"/>
      <c r="F273" s="295"/>
      <c r="G273" s="295"/>
      <c r="H273" s="295"/>
      <c r="I273" s="253"/>
    </row>
    <row r="274" spans="1:9" ht="15" customHeight="1">
      <c r="A274" s="259" t="s">
        <v>560</v>
      </c>
      <c r="B274" s="296" t="s">
        <v>561</v>
      </c>
      <c r="C274" s="260" t="s">
        <v>353</v>
      </c>
      <c r="D274" s="261">
        <v>44811.40618622685</v>
      </c>
      <c r="E274" s="258">
        <v>6.000013</v>
      </c>
      <c r="F274" s="257">
        <v>9.52</v>
      </c>
      <c r="G274" s="257">
        <v>57.12</v>
      </c>
      <c r="H274" s="253">
        <v>8.0305794906791406E-6</v>
      </c>
      <c r="I274"/>
    </row>
    <row r="275" spans="1:9">
      <c r="A275" s="295"/>
      <c r="B275" s="296"/>
      <c r="C275" s="295"/>
      <c r="D275" s="295"/>
      <c r="E275" s="295"/>
      <c r="F275" s="295"/>
      <c r="G275" s="295"/>
      <c r="H275" s="295"/>
      <c r="I275"/>
    </row>
    <row r="276" spans="1:9">
      <c r="A276" s="295"/>
      <c r="B276" s="296"/>
      <c r="C276" s="295"/>
      <c r="D276" s="295"/>
      <c r="E276" s="295"/>
      <c r="F276" s="295"/>
      <c r="G276" s="295"/>
      <c r="H276" s="295"/>
      <c r="I276"/>
    </row>
    <row r="277" spans="1:9" ht="22.5">
      <c r="A277" s="259" t="s">
        <v>562</v>
      </c>
      <c r="B277" s="296" t="s">
        <v>563</v>
      </c>
      <c r="C277" s="260" t="s">
        <v>353</v>
      </c>
      <c r="D277" s="261">
        <v>44811.407407141203</v>
      </c>
      <c r="E277" s="258">
        <v>14.000011000000001</v>
      </c>
      <c r="F277" s="257">
        <v>12.69</v>
      </c>
      <c r="G277" s="257">
        <v>177.66</v>
      </c>
      <c r="H277" s="253">
        <v>2.4977464151156401E-5</v>
      </c>
      <c r="I277" s="253"/>
    </row>
    <row r="278" spans="1:9">
      <c r="A278" s="295"/>
      <c r="B278" s="296"/>
      <c r="C278" s="295"/>
      <c r="D278" s="295"/>
      <c r="E278" s="295"/>
      <c r="F278" s="295"/>
      <c r="G278" s="295"/>
      <c r="H278" s="295"/>
      <c r="I278"/>
    </row>
    <row r="279" spans="1:9" ht="15" customHeight="1">
      <c r="A279" s="295"/>
      <c r="B279" s="296"/>
      <c r="C279" s="295"/>
      <c r="D279" s="295"/>
      <c r="E279" s="295"/>
      <c r="F279" s="295"/>
      <c r="G279" s="295"/>
      <c r="H279" s="295"/>
      <c r="I279"/>
    </row>
    <row r="280" spans="1:9" ht="22.5">
      <c r="A280" s="259" t="s">
        <v>564</v>
      </c>
      <c r="B280" s="296" t="s">
        <v>565</v>
      </c>
      <c r="C280" s="260" t="s">
        <v>353</v>
      </c>
      <c r="D280" s="261">
        <v>44811.737093946758</v>
      </c>
      <c r="E280" s="258">
        <v>7.9999979999999997</v>
      </c>
      <c r="F280" s="257">
        <v>9.52</v>
      </c>
      <c r="G280" s="257">
        <v>76.16</v>
      </c>
      <c r="H280" s="253">
        <v>1.07074393209055E-5</v>
      </c>
      <c r="I280"/>
    </row>
    <row r="281" spans="1:9">
      <c r="A281" s="295"/>
      <c r="B281" s="296"/>
      <c r="C281" s="295"/>
      <c r="D281" s="295"/>
      <c r="E281" s="295"/>
      <c r="F281" s="295"/>
      <c r="G281" s="295"/>
      <c r="H281" s="295"/>
      <c r="I281"/>
    </row>
    <row r="282" spans="1:9">
      <c r="A282" s="295"/>
      <c r="B282" s="296"/>
      <c r="C282" s="295"/>
      <c r="D282" s="295"/>
      <c r="E282" s="295"/>
      <c r="F282" s="295"/>
      <c r="G282" s="295"/>
      <c r="H282" s="295"/>
      <c r="I282" s="253"/>
    </row>
    <row r="283" spans="1:9">
      <c r="A283" s="259" t="s">
        <v>566</v>
      </c>
      <c r="B283" s="296" t="s">
        <v>567</v>
      </c>
      <c r="C283" s="260" t="s">
        <v>353</v>
      </c>
      <c r="D283" s="261">
        <v>45183.716943599538</v>
      </c>
      <c r="E283" s="258">
        <v>1</v>
      </c>
      <c r="F283" s="257">
        <v>0</v>
      </c>
      <c r="G283" s="257">
        <v>0</v>
      </c>
      <c r="H283" s="253">
        <v>0</v>
      </c>
      <c r="I283"/>
    </row>
    <row r="284" spans="1:9" ht="15" customHeight="1">
      <c r="A284" s="259" t="s">
        <v>568</v>
      </c>
      <c r="B284" s="296" t="s">
        <v>569</v>
      </c>
      <c r="C284" s="260" t="s">
        <v>353</v>
      </c>
      <c r="D284" s="261">
        <v>45183</v>
      </c>
      <c r="E284" s="258">
        <v>1</v>
      </c>
      <c r="F284" s="257">
        <v>1335.1</v>
      </c>
      <c r="G284" s="257">
        <v>1335.1</v>
      </c>
      <c r="H284" s="253">
        <v>1.8770354828441399E-4</v>
      </c>
      <c r="I284"/>
    </row>
    <row r="285" spans="1:9">
      <c r="A285" s="295"/>
      <c r="B285" s="296"/>
      <c r="C285" s="295"/>
      <c r="D285" s="295"/>
      <c r="E285" s="295"/>
      <c r="F285" s="295"/>
      <c r="G285" s="295"/>
      <c r="H285" s="295"/>
      <c r="I285"/>
    </row>
    <row r="286" spans="1:9" ht="15" customHeight="1">
      <c r="A286" s="295"/>
      <c r="B286" s="296"/>
      <c r="C286" s="295"/>
      <c r="D286" s="295"/>
      <c r="E286" s="295"/>
      <c r="F286" s="295"/>
      <c r="G286" s="295"/>
      <c r="H286" s="295"/>
      <c r="I286"/>
    </row>
    <row r="287" spans="1:9">
      <c r="A287" s="295"/>
      <c r="B287" s="296"/>
      <c r="C287" s="295"/>
      <c r="D287" s="295"/>
      <c r="E287" s="295"/>
      <c r="F287" s="295"/>
      <c r="G287" s="295"/>
      <c r="H287" s="295"/>
      <c r="I287" s="253"/>
    </row>
    <row r="288" spans="1:9" ht="15" customHeight="1">
      <c r="A288" s="259" t="s">
        <v>570</v>
      </c>
      <c r="B288" s="296" t="s">
        <v>571</v>
      </c>
      <c r="C288" s="260" t="s">
        <v>353</v>
      </c>
      <c r="D288" s="261">
        <v>45629.715330787039</v>
      </c>
      <c r="E288" s="258">
        <v>3</v>
      </c>
      <c r="F288" s="257">
        <v>3693.36</v>
      </c>
      <c r="G288" s="257">
        <v>11080.08</v>
      </c>
      <c r="H288" s="253">
        <v>1.55776371153859E-3</v>
      </c>
      <c r="I288"/>
    </row>
    <row r="289" spans="1:9">
      <c r="A289" s="295"/>
      <c r="B289" s="296"/>
      <c r="C289" s="295"/>
      <c r="D289" s="295"/>
      <c r="E289" s="295"/>
      <c r="F289" s="295"/>
      <c r="G289" s="295"/>
      <c r="H289" s="295"/>
      <c r="I289" s="253"/>
    </row>
    <row r="290" spans="1:9" ht="15" customHeight="1">
      <c r="A290" s="295"/>
      <c r="B290" s="296"/>
      <c r="C290" s="295"/>
      <c r="D290" s="295"/>
      <c r="E290" s="295"/>
      <c r="F290" s="295"/>
      <c r="G290" s="295"/>
      <c r="H290" s="295"/>
      <c r="I290" s="253"/>
    </row>
    <row r="291" spans="1:9">
      <c r="A291" s="295"/>
      <c r="B291" s="296"/>
      <c r="C291" s="295"/>
      <c r="D291" s="295"/>
      <c r="E291" s="295"/>
      <c r="F291" s="295"/>
      <c r="G291" s="295"/>
      <c r="H291" s="295"/>
      <c r="I291"/>
    </row>
    <row r="292" spans="1:9" ht="33.75">
      <c r="A292" s="259" t="s">
        <v>572</v>
      </c>
      <c r="B292" s="296" t="s">
        <v>573</v>
      </c>
      <c r="C292" s="260" t="s">
        <v>353</v>
      </c>
      <c r="D292" s="261">
        <v>45629.55460127315</v>
      </c>
      <c r="E292" s="258">
        <v>2</v>
      </c>
      <c r="F292" s="257">
        <v>27053.07</v>
      </c>
      <c r="G292" s="257">
        <v>54106.14</v>
      </c>
      <c r="H292" s="253">
        <v>7.60685676127126E-3</v>
      </c>
      <c r="I292" s="253"/>
    </row>
    <row r="293" spans="1:9" ht="15" customHeight="1">
      <c r="A293" s="295"/>
      <c r="B293" s="296"/>
      <c r="C293" s="295"/>
      <c r="D293" s="295"/>
      <c r="E293" s="295"/>
      <c r="F293" s="295"/>
      <c r="G293" s="295"/>
      <c r="H293" s="295"/>
      <c r="I293"/>
    </row>
    <row r="294" spans="1:9">
      <c r="A294" s="295"/>
      <c r="B294" s="296"/>
      <c r="C294" s="295"/>
      <c r="D294" s="295"/>
      <c r="E294" s="295"/>
      <c r="F294" s="295"/>
      <c r="G294" s="295"/>
      <c r="H294" s="295"/>
      <c r="I294" s="253"/>
    </row>
    <row r="295" spans="1:9">
      <c r="A295" s="295"/>
      <c r="B295" s="296"/>
      <c r="C295" s="295"/>
      <c r="D295" s="295"/>
      <c r="E295" s="295"/>
      <c r="F295" s="295"/>
      <c r="G295" s="295"/>
      <c r="H295" s="295"/>
      <c r="I295" s="253"/>
    </row>
    <row r="296" spans="1:9">
      <c r="A296" s="295"/>
      <c r="B296" s="296"/>
      <c r="C296" s="295"/>
      <c r="D296" s="295"/>
      <c r="E296" s="295"/>
      <c r="F296" s="295"/>
      <c r="G296" s="295"/>
      <c r="H296" s="295"/>
      <c r="I296" s="253"/>
    </row>
    <row r="297" spans="1:9" ht="33.75">
      <c r="A297" s="259" t="s">
        <v>574</v>
      </c>
      <c r="B297" s="296" t="s">
        <v>575</v>
      </c>
      <c r="C297" s="260" t="s">
        <v>353</v>
      </c>
      <c r="D297" s="261">
        <v>45182.785220057871</v>
      </c>
      <c r="E297" s="258">
        <v>6</v>
      </c>
      <c r="F297" s="257">
        <v>30000</v>
      </c>
      <c r="G297" s="257">
        <v>180000</v>
      </c>
      <c r="H297" s="253">
        <v>2.5306447974829199E-2</v>
      </c>
      <c r="I297"/>
    </row>
    <row r="298" spans="1:9">
      <c r="A298" s="295"/>
      <c r="B298" s="296"/>
      <c r="C298" s="295"/>
      <c r="D298" s="295"/>
      <c r="E298" s="295"/>
      <c r="F298" s="295"/>
      <c r="G298" s="295"/>
      <c r="H298" s="295"/>
      <c r="I298" s="253"/>
    </row>
    <row r="299" spans="1:9">
      <c r="A299" s="295"/>
      <c r="B299" s="296"/>
      <c r="C299" s="295"/>
      <c r="D299" s="295"/>
      <c r="E299" s="295"/>
      <c r="F299" s="295"/>
      <c r="G299" s="295"/>
      <c r="H299" s="295"/>
      <c r="I299" s="253"/>
    </row>
    <row r="300" spans="1:9" ht="15" customHeight="1">
      <c r="A300" s="295"/>
      <c r="B300" s="296"/>
      <c r="C300" s="295"/>
      <c r="D300" s="295"/>
      <c r="E300" s="295"/>
      <c r="F300" s="295"/>
      <c r="G300" s="295"/>
      <c r="H300" s="295"/>
      <c r="I300"/>
    </row>
    <row r="301" spans="1:9">
      <c r="A301" s="295"/>
      <c r="B301" s="296"/>
      <c r="C301" s="295"/>
      <c r="D301" s="295"/>
      <c r="E301" s="295"/>
      <c r="F301" s="295"/>
      <c r="G301" s="295"/>
      <c r="H301" s="295"/>
      <c r="I301"/>
    </row>
    <row r="302" spans="1:9">
      <c r="A302" s="259" t="s">
        <v>576</v>
      </c>
      <c r="B302" s="296" t="s">
        <v>577</v>
      </c>
      <c r="C302" s="260" t="s">
        <v>353</v>
      </c>
      <c r="D302" s="261">
        <v>45681</v>
      </c>
      <c r="E302" s="258">
        <v>1</v>
      </c>
      <c r="F302" s="257">
        <v>63350</v>
      </c>
      <c r="G302" s="257">
        <v>63350</v>
      </c>
      <c r="H302" s="253">
        <v>8.9064637733634999E-3</v>
      </c>
      <c r="I302"/>
    </row>
    <row r="303" spans="1:9">
      <c r="A303" s="295"/>
      <c r="B303" s="296"/>
      <c r="C303" s="295"/>
      <c r="D303" s="295"/>
      <c r="E303" s="295"/>
      <c r="F303" s="295"/>
      <c r="G303" s="295"/>
      <c r="H303" s="295"/>
      <c r="I303"/>
    </row>
    <row r="304" spans="1:9">
      <c r="A304" s="259" t="s">
        <v>578</v>
      </c>
      <c r="B304" s="296" t="s">
        <v>579</v>
      </c>
      <c r="C304" s="260" t="s">
        <v>353</v>
      </c>
      <c r="D304" s="261">
        <v>44823.615822650463</v>
      </c>
      <c r="E304" s="258">
        <v>980.11973599999999</v>
      </c>
      <c r="F304" s="257">
        <v>3.05</v>
      </c>
      <c r="G304" s="257">
        <v>2989.37</v>
      </c>
      <c r="H304" s="253">
        <v>4.20279646569529E-4</v>
      </c>
      <c r="I304"/>
    </row>
    <row r="305" spans="1:9" ht="15" customHeight="1">
      <c r="A305" s="259" t="s">
        <v>580</v>
      </c>
      <c r="B305" s="296" t="s">
        <v>581</v>
      </c>
      <c r="C305" s="260" t="s">
        <v>353</v>
      </c>
      <c r="D305" s="261">
        <v>45629.715431944445</v>
      </c>
      <c r="E305" s="258">
        <v>3</v>
      </c>
      <c r="F305" s="257">
        <v>8591.33</v>
      </c>
      <c r="G305" s="257">
        <v>25773.99</v>
      </c>
      <c r="H305" s="253">
        <v>3.62360076132649E-3</v>
      </c>
      <c r="I305"/>
    </row>
    <row r="306" spans="1:9">
      <c r="A306" s="295"/>
      <c r="B306" s="296"/>
      <c r="C306" s="295"/>
      <c r="D306" s="295"/>
      <c r="E306" s="295"/>
      <c r="F306" s="295"/>
      <c r="G306" s="295"/>
      <c r="H306" s="295"/>
      <c r="I306" s="253"/>
    </row>
    <row r="307" spans="1:9">
      <c r="A307" s="259" t="s">
        <v>582</v>
      </c>
      <c r="B307" s="296" t="s">
        <v>583</v>
      </c>
      <c r="C307" s="260" t="s">
        <v>353</v>
      </c>
      <c r="D307" s="261">
        <v>45628.54781747685</v>
      </c>
      <c r="E307" s="258">
        <v>3</v>
      </c>
      <c r="F307" s="257">
        <v>2928.34</v>
      </c>
      <c r="G307" s="257">
        <v>8785.02</v>
      </c>
      <c r="H307" s="253">
        <v>1.23509806437686E-3</v>
      </c>
      <c r="I307"/>
    </row>
    <row r="308" spans="1:9">
      <c r="A308" s="295"/>
      <c r="B308" s="296"/>
      <c r="C308" s="295"/>
      <c r="D308" s="295"/>
      <c r="E308" s="295"/>
      <c r="F308" s="295"/>
      <c r="G308" s="295"/>
      <c r="H308" s="295"/>
      <c r="I308"/>
    </row>
    <row r="309" spans="1:9" ht="15" customHeight="1">
      <c r="A309" s="259" t="s">
        <v>584</v>
      </c>
      <c r="B309" s="296" t="s">
        <v>585</v>
      </c>
      <c r="C309" s="260" t="s">
        <v>353</v>
      </c>
      <c r="D309" s="261">
        <v>44781</v>
      </c>
      <c r="E309" s="258">
        <v>254.96973800000001</v>
      </c>
      <c r="F309" s="257">
        <v>0.68</v>
      </c>
      <c r="G309" s="257">
        <v>173.38</v>
      </c>
      <c r="H309" s="253">
        <v>2.43757330548661E-5</v>
      </c>
      <c r="I309"/>
    </row>
    <row r="310" spans="1:9">
      <c r="A310" s="259" t="s">
        <v>586</v>
      </c>
      <c r="B310" s="296" t="s">
        <v>587</v>
      </c>
      <c r="C310" s="260" t="s">
        <v>353</v>
      </c>
      <c r="D310" s="261">
        <v>45175</v>
      </c>
      <c r="E310" s="258">
        <v>33.6</v>
      </c>
      <c r="F310" s="257">
        <v>3.65</v>
      </c>
      <c r="G310" s="257">
        <v>122.64</v>
      </c>
      <c r="H310" s="253">
        <v>1.7242126553517E-5</v>
      </c>
      <c r="I310" s="253"/>
    </row>
    <row r="311" spans="1:9">
      <c r="A311" s="259" t="s">
        <v>588</v>
      </c>
      <c r="B311" s="296" t="s">
        <v>589</v>
      </c>
      <c r="C311" s="260" t="s">
        <v>353</v>
      </c>
      <c r="D311" s="261">
        <v>44809.510002233794</v>
      </c>
      <c r="E311" s="258">
        <v>60</v>
      </c>
      <c r="F311" s="257">
        <v>0.25</v>
      </c>
      <c r="G311" s="257">
        <v>15</v>
      </c>
      <c r="H311" s="253">
        <v>2.1088706645691E-6</v>
      </c>
      <c r="I311"/>
    </row>
    <row r="312" spans="1:9" ht="15" customHeight="1">
      <c r="A312" s="295"/>
      <c r="B312" s="296"/>
      <c r="C312" s="295"/>
      <c r="D312" s="295"/>
      <c r="E312" s="295"/>
      <c r="F312" s="295"/>
      <c r="G312" s="295"/>
      <c r="H312" s="295"/>
      <c r="I312"/>
    </row>
    <row r="313" spans="1:9">
      <c r="A313" s="259" t="s">
        <v>590</v>
      </c>
      <c r="B313" s="296" t="s">
        <v>591</v>
      </c>
      <c r="C313" s="260" t="s">
        <v>353</v>
      </c>
      <c r="D313" s="261">
        <v>44810</v>
      </c>
      <c r="E313" s="258">
        <v>1392.3411427999999</v>
      </c>
      <c r="F313" s="257">
        <v>5.18</v>
      </c>
      <c r="G313" s="257">
        <v>7212.33</v>
      </c>
      <c r="H313" s="253">
        <v>1.01399141067944E-3</v>
      </c>
      <c r="I313"/>
    </row>
    <row r="314" spans="1:9" ht="56.25">
      <c r="A314" s="259" t="s">
        <v>592</v>
      </c>
      <c r="B314" s="296" t="s">
        <v>593</v>
      </c>
      <c r="C314" s="260" t="s">
        <v>353</v>
      </c>
      <c r="D314" s="261">
        <v>45628.597964270833</v>
      </c>
      <c r="E314" s="258">
        <v>1.05</v>
      </c>
      <c r="F314" s="257">
        <v>540000</v>
      </c>
      <c r="G314" s="257">
        <v>567000</v>
      </c>
      <c r="H314" s="253">
        <v>7.9715311120712007E-2</v>
      </c>
      <c r="I314" s="253"/>
    </row>
    <row r="315" spans="1:9" ht="15" customHeight="1">
      <c r="A315" s="295"/>
      <c r="B315" s="296"/>
      <c r="C315" s="295"/>
      <c r="D315" s="295"/>
      <c r="E315" s="295"/>
      <c r="F315" s="295"/>
      <c r="G315" s="295"/>
      <c r="H315" s="295"/>
      <c r="I315"/>
    </row>
    <row r="316" spans="1:9">
      <c r="A316" s="295"/>
      <c r="B316" s="296"/>
      <c r="C316" s="295"/>
      <c r="D316" s="295"/>
      <c r="E316" s="295"/>
      <c r="F316" s="295"/>
      <c r="G316" s="295"/>
      <c r="H316" s="295"/>
      <c r="I316"/>
    </row>
    <row r="317" spans="1:9">
      <c r="A317" s="295"/>
      <c r="B317" s="296"/>
      <c r="C317" s="295"/>
      <c r="D317" s="295"/>
      <c r="E317" s="295"/>
      <c r="F317" s="295"/>
      <c r="G317" s="295"/>
      <c r="H317" s="295"/>
      <c r="I317"/>
    </row>
    <row r="318" spans="1:9" ht="15" customHeight="1">
      <c r="A318" s="295"/>
      <c r="B318" s="296"/>
      <c r="C318" s="295"/>
      <c r="D318" s="295"/>
      <c r="E318" s="295"/>
      <c r="F318" s="295"/>
      <c r="G318" s="295"/>
      <c r="H318" s="295"/>
      <c r="I318" s="253"/>
    </row>
    <row r="319" spans="1:9">
      <c r="A319" s="295"/>
      <c r="B319" s="296"/>
      <c r="C319" s="295"/>
      <c r="D319" s="295"/>
      <c r="E319" s="295"/>
      <c r="F319" s="295"/>
      <c r="G319" s="295"/>
      <c r="H319" s="295"/>
      <c r="I319"/>
    </row>
    <row r="320" spans="1:9">
      <c r="A320" s="295"/>
      <c r="B320" s="296"/>
      <c r="C320" s="295"/>
      <c r="D320" s="295"/>
      <c r="E320" s="295"/>
      <c r="F320" s="295"/>
      <c r="G320" s="295"/>
      <c r="H320" s="295"/>
      <c r="I320"/>
    </row>
    <row r="321" spans="1:9" ht="15" customHeight="1">
      <c r="A321" s="259" t="s">
        <v>594</v>
      </c>
      <c r="B321" s="296" t="s">
        <v>595</v>
      </c>
      <c r="C321" s="260" t="s">
        <v>383</v>
      </c>
      <c r="D321" s="261">
        <v>44879.417620717591</v>
      </c>
      <c r="E321" s="258">
        <v>51.264402349999997</v>
      </c>
      <c r="F321" s="257">
        <v>43.5</v>
      </c>
      <c r="G321" s="257">
        <v>2230</v>
      </c>
      <c r="H321" s="253">
        <v>3.13518772132606E-4</v>
      </c>
      <c r="I321"/>
    </row>
    <row r="322" spans="1:9">
      <c r="A322" s="295"/>
      <c r="B322" s="296"/>
      <c r="C322" s="295"/>
      <c r="D322" s="295"/>
      <c r="E322" s="295"/>
      <c r="F322" s="295"/>
      <c r="G322" s="295"/>
      <c r="H322" s="295"/>
      <c r="I322" s="253"/>
    </row>
    <row r="323" spans="1:9">
      <c r="A323" s="295"/>
      <c r="B323" s="296"/>
      <c r="C323" s="295"/>
      <c r="D323" s="295"/>
      <c r="E323" s="295"/>
      <c r="F323" s="295"/>
      <c r="G323" s="295"/>
      <c r="H323" s="295"/>
      <c r="I323"/>
    </row>
    <row r="324" spans="1:9" ht="15" customHeight="1">
      <c r="A324" s="295"/>
      <c r="B324" s="296"/>
      <c r="C324" s="295"/>
      <c r="D324" s="295"/>
      <c r="E324" s="295"/>
      <c r="F324" s="295"/>
      <c r="G324" s="295"/>
      <c r="H324" s="295"/>
      <c r="I324"/>
    </row>
    <row r="325" spans="1:9" ht="33.75">
      <c r="A325" s="259" t="s">
        <v>596</v>
      </c>
      <c r="B325" s="296" t="s">
        <v>597</v>
      </c>
      <c r="C325" s="260" t="s">
        <v>383</v>
      </c>
      <c r="D325" s="261">
        <v>44809.742003437503</v>
      </c>
      <c r="E325" s="258">
        <v>1.070001</v>
      </c>
      <c r="F325" s="257">
        <v>78.73</v>
      </c>
      <c r="G325" s="257">
        <v>84.24</v>
      </c>
      <c r="H325" s="253">
        <v>1.18434176522201E-5</v>
      </c>
      <c r="I325"/>
    </row>
    <row r="326" spans="1:9">
      <c r="A326" s="295"/>
      <c r="B326" s="296"/>
      <c r="C326" s="295"/>
      <c r="D326" s="295"/>
      <c r="E326" s="295"/>
      <c r="F326" s="295"/>
      <c r="G326" s="295"/>
      <c r="H326" s="295"/>
      <c r="I326" s="253"/>
    </row>
    <row r="327" spans="1:9" ht="15" customHeight="1">
      <c r="A327" s="295"/>
      <c r="B327" s="296"/>
      <c r="C327" s="295"/>
      <c r="D327" s="295"/>
      <c r="E327" s="295"/>
      <c r="F327" s="295"/>
      <c r="G327" s="295"/>
      <c r="H327" s="295"/>
      <c r="I327"/>
    </row>
    <row r="328" spans="1:9">
      <c r="A328" s="295"/>
      <c r="B328" s="296"/>
      <c r="C328" s="295"/>
      <c r="D328" s="295"/>
      <c r="E328" s="295"/>
      <c r="F328" s="295"/>
      <c r="G328" s="295"/>
      <c r="H328" s="295"/>
      <c r="I328"/>
    </row>
    <row r="329" spans="1:9" ht="33.75">
      <c r="A329" s="259" t="s">
        <v>598</v>
      </c>
      <c r="B329" s="296" t="s">
        <v>599</v>
      </c>
      <c r="C329" s="260" t="s">
        <v>353</v>
      </c>
      <c r="D329" s="261">
        <v>45021.529174918978</v>
      </c>
      <c r="E329" s="258">
        <v>3.5</v>
      </c>
      <c r="F329" s="257">
        <v>27.52</v>
      </c>
      <c r="G329" s="257">
        <v>96.32</v>
      </c>
      <c r="H329" s="253">
        <v>1.35417614940864E-5</v>
      </c>
      <c r="I329"/>
    </row>
    <row r="330" spans="1:9" ht="15" customHeight="1">
      <c r="A330" s="295"/>
      <c r="B330" s="296"/>
      <c r="C330" s="295"/>
      <c r="D330" s="295"/>
      <c r="E330" s="295"/>
      <c r="F330" s="295"/>
      <c r="G330" s="295"/>
      <c r="H330" s="295"/>
      <c r="I330" s="253"/>
    </row>
    <row r="331" spans="1:9">
      <c r="A331" s="295"/>
      <c r="B331" s="296"/>
      <c r="C331" s="295"/>
      <c r="D331" s="295"/>
      <c r="E331" s="295"/>
      <c r="F331" s="295"/>
      <c r="G331" s="295"/>
      <c r="H331" s="295"/>
      <c r="I331"/>
    </row>
    <row r="332" spans="1:9">
      <c r="A332" s="295"/>
      <c r="B332" s="296"/>
      <c r="C332" s="295"/>
      <c r="D332" s="295"/>
      <c r="E332" s="295"/>
      <c r="F332" s="295"/>
      <c r="G332" s="295"/>
      <c r="H332" s="295"/>
      <c r="I332"/>
    </row>
    <row r="333" spans="1:9" ht="22.5">
      <c r="A333" s="259" t="s">
        <v>600</v>
      </c>
      <c r="B333" s="296" t="s">
        <v>601</v>
      </c>
      <c r="C333" s="260" t="s">
        <v>353</v>
      </c>
      <c r="D333" s="261">
        <v>45182.541101886571</v>
      </c>
      <c r="E333" s="258">
        <v>183.32324360000001</v>
      </c>
      <c r="F333" s="257">
        <v>230.63</v>
      </c>
      <c r="G333" s="257">
        <v>42279.839999999997</v>
      </c>
      <c r="H333" s="253">
        <v>5.94418095191168E-3</v>
      </c>
      <c r="I333"/>
    </row>
    <row r="334" spans="1:9" ht="15" customHeight="1">
      <c r="A334" s="295"/>
      <c r="B334" s="296"/>
      <c r="C334" s="295"/>
      <c r="D334" s="295"/>
      <c r="E334" s="295"/>
      <c r="F334" s="295"/>
      <c r="G334" s="295"/>
      <c r="H334" s="295"/>
      <c r="I334" s="253"/>
    </row>
    <row r="335" spans="1:9">
      <c r="A335" s="295"/>
      <c r="B335" s="296"/>
      <c r="C335" s="295"/>
      <c r="D335" s="295"/>
      <c r="E335" s="295"/>
      <c r="F335" s="295"/>
      <c r="G335" s="295"/>
      <c r="H335" s="295"/>
      <c r="I335"/>
    </row>
    <row r="336" spans="1:9">
      <c r="A336" s="295"/>
      <c r="B336" s="296"/>
      <c r="C336" s="295"/>
      <c r="D336" s="295"/>
      <c r="E336" s="295"/>
      <c r="F336" s="295"/>
      <c r="G336" s="295"/>
      <c r="H336" s="295"/>
      <c r="I336"/>
    </row>
    <row r="337" spans="1:9" ht="15" customHeight="1">
      <c r="A337" s="259" t="s">
        <v>602</v>
      </c>
      <c r="B337" s="296" t="s">
        <v>603</v>
      </c>
      <c r="C337" s="260" t="s">
        <v>353</v>
      </c>
      <c r="D337" s="261">
        <v>45629.537299965275</v>
      </c>
      <c r="E337" s="258">
        <v>210.96801354999999</v>
      </c>
      <c r="F337" s="257">
        <v>93.62</v>
      </c>
      <c r="G337" s="257">
        <v>19750.830000000002</v>
      </c>
      <c r="H337" s="253">
        <v>2.7767963991927598E-3</v>
      </c>
      <c r="I337"/>
    </row>
    <row r="338" spans="1:9">
      <c r="A338" s="295"/>
      <c r="B338" s="296"/>
      <c r="C338" s="295"/>
      <c r="D338" s="295"/>
      <c r="E338" s="295"/>
      <c r="F338" s="295"/>
      <c r="G338" s="295"/>
      <c r="H338" s="295"/>
      <c r="I338" s="253"/>
    </row>
    <row r="339" spans="1:9" ht="15" customHeight="1">
      <c r="A339" s="295"/>
      <c r="B339" s="296"/>
      <c r="C339" s="295"/>
      <c r="D339" s="295"/>
      <c r="E339" s="295"/>
      <c r="F339" s="295"/>
      <c r="G339" s="295"/>
      <c r="H339" s="295"/>
      <c r="I339"/>
    </row>
    <row r="340" spans="1:9">
      <c r="A340" s="295"/>
      <c r="B340" s="296"/>
      <c r="C340" s="295"/>
      <c r="D340" s="295"/>
      <c r="E340" s="295"/>
      <c r="F340" s="295"/>
      <c r="G340" s="295"/>
      <c r="H340" s="295"/>
      <c r="I340"/>
    </row>
    <row r="341" spans="1:9" ht="15" customHeight="1">
      <c r="A341" s="259" t="s">
        <v>604</v>
      </c>
      <c r="B341" s="296" t="s">
        <v>605</v>
      </c>
      <c r="C341" s="260" t="s">
        <v>353</v>
      </c>
      <c r="D341" s="261">
        <v>45182.540710960646</v>
      </c>
      <c r="E341" s="258">
        <v>1364.8861817500001</v>
      </c>
      <c r="F341" s="257">
        <v>64.400000000000006</v>
      </c>
      <c r="G341" s="257">
        <v>87898.67</v>
      </c>
      <c r="H341" s="253">
        <v>1.23577951078427E-2</v>
      </c>
      <c r="I341"/>
    </row>
    <row r="342" spans="1:9">
      <c r="A342" s="295"/>
      <c r="B342" s="296"/>
      <c r="C342" s="295"/>
      <c r="D342" s="295"/>
      <c r="E342" s="295"/>
      <c r="F342" s="295"/>
      <c r="G342" s="295"/>
      <c r="H342" s="295"/>
      <c r="I342" s="253"/>
    </row>
    <row r="343" spans="1:9" ht="15" customHeight="1">
      <c r="A343" s="295"/>
      <c r="B343" s="296"/>
      <c r="C343" s="295"/>
      <c r="D343" s="295"/>
      <c r="E343" s="295"/>
      <c r="F343" s="295"/>
      <c r="G343" s="295"/>
      <c r="H343" s="295"/>
      <c r="I343"/>
    </row>
    <row r="344" spans="1:9">
      <c r="A344" s="295"/>
      <c r="B344" s="296"/>
      <c r="C344" s="295"/>
      <c r="D344" s="295"/>
      <c r="E344" s="295"/>
      <c r="F344" s="295"/>
      <c r="G344" s="295"/>
      <c r="H344" s="295"/>
      <c r="I344"/>
    </row>
    <row r="345" spans="1:9" ht="15" customHeight="1">
      <c r="A345" s="259" t="s">
        <v>606</v>
      </c>
      <c r="B345" s="296" t="s">
        <v>607</v>
      </c>
      <c r="C345" s="260" t="s">
        <v>383</v>
      </c>
      <c r="D345" s="261">
        <v>45057.846486458337</v>
      </c>
      <c r="E345" s="258">
        <v>68.95</v>
      </c>
      <c r="F345" s="257">
        <v>62.41</v>
      </c>
      <c r="G345" s="257">
        <v>4303.17</v>
      </c>
      <c r="H345" s="253">
        <v>6.0498859851025502E-4</v>
      </c>
      <c r="I345" s="253"/>
    </row>
    <row r="346" spans="1:9">
      <c r="A346" s="295"/>
      <c r="B346" s="296"/>
      <c r="C346" s="295"/>
      <c r="D346" s="295"/>
      <c r="E346" s="295"/>
      <c r="F346" s="295"/>
      <c r="G346" s="295"/>
      <c r="H346" s="295"/>
      <c r="I346"/>
    </row>
    <row r="347" spans="1:9" ht="15" customHeight="1">
      <c r="A347" s="295"/>
      <c r="B347" s="296"/>
      <c r="C347" s="295"/>
      <c r="D347" s="295"/>
      <c r="E347" s="295"/>
      <c r="F347" s="295"/>
      <c r="G347" s="295"/>
      <c r="H347" s="295"/>
      <c r="I347"/>
    </row>
    <row r="348" spans="1:9">
      <c r="A348" s="295"/>
      <c r="B348" s="296"/>
      <c r="C348" s="295"/>
      <c r="D348" s="295"/>
      <c r="E348" s="295"/>
      <c r="F348" s="295"/>
      <c r="G348" s="295"/>
      <c r="H348" s="295"/>
      <c r="I348" s="253"/>
    </row>
    <row r="349" spans="1:9" ht="15" customHeight="1">
      <c r="A349" s="259" t="s">
        <v>610</v>
      </c>
      <c r="B349" s="296" t="s">
        <v>611</v>
      </c>
      <c r="C349" s="260" t="s">
        <v>353</v>
      </c>
      <c r="D349" s="261">
        <v>45182.540838113426</v>
      </c>
      <c r="E349" s="258">
        <v>148.75895825000001</v>
      </c>
      <c r="F349" s="257">
        <v>150.87</v>
      </c>
      <c r="G349" s="257">
        <v>22443.26</v>
      </c>
      <c r="H349" s="253">
        <v>3.1553288420864802E-3</v>
      </c>
      <c r="I349" s="253"/>
    </row>
    <row r="350" spans="1:9">
      <c r="A350" s="295"/>
      <c r="B350" s="296"/>
      <c r="C350" s="295"/>
      <c r="D350" s="295"/>
      <c r="E350" s="295"/>
      <c r="F350" s="295"/>
      <c r="G350" s="295"/>
      <c r="H350" s="295"/>
      <c r="I350"/>
    </row>
    <row r="351" spans="1:9" ht="15" customHeight="1">
      <c r="A351" s="295"/>
      <c r="B351" s="296"/>
      <c r="C351" s="295"/>
      <c r="D351" s="295"/>
      <c r="E351" s="295"/>
      <c r="F351" s="295"/>
      <c r="G351" s="295"/>
      <c r="H351" s="295"/>
      <c r="I351" s="253"/>
    </row>
    <row r="352" spans="1:9">
      <c r="A352" s="295"/>
      <c r="B352" s="296"/>
      <c r="C352" s="295"/>
      <c r="D352" s="295"/>
      <c r="E352" s="295"/>
      <c r="F352" s="295"/>
      <c r="G352" s="295"/>
      <c r="H352" s="295"/>
      <c r="I352"/>
    </row>
    <row r="353" spans="1:9" ht="15" customHeight="1">
      <c r="A353" s="259" t="s">
        <v>608</v>
      </c>
      <c r="B353" s="296" t="s">
        <v>609</v>
      </c>
      <c r="C353" s="260" t="s">
        <v>353</v>
      </c>
      <c r="D353" s="261">
        <v>45182.540996377313</v>
      </c>
      <c r="E353" s="258">
        <v>137.00182860000001</v>
      </c>
      <c r="F353" s="257">
        <v>198.85</v>
      </c>
      <c r="G353" s="257">
        <v>27242.81</v>
      </c>
      <c r="H353" s="253">
        <v>3.83010418862865E-3</v>
      </c>
      <c r="I353" s="253"/>
    </row>
    <row r="354" spans="1:9">
      <c r="A354" s="295"/>
      <c r="B354" s="296"/>
      <c r="C354" s="295"/>
      <c r="D354" s="295"/>
      <c r="E354" s="295"/>
      <c r="F354" s="295"/>
      <c r="G354" s="295"/>
      <c r="H354" s="295"/>
      <c r="I354"/>
    </row>
    <row r="355" spans="1:9">
      <c r="A355" s="295"/>
      <c r="B355" s="296"/>
      <c r="C355" s="295"/>
      <c r="D355" s="295"/>
      <c r="E355" s="295"/>
      <c r="F355" s="295"/>
      <c r="G355" s="295"/>
      <c r="H355" s="295"/>
      <c r="I355"/>
    </row>
    <row r="356" spans="1:9">
      <c r="A356" s="295"/>
      <c r="B356" s="296"/>
      <c r="C356" s="295"/>
      <c r="D356" s="295"/>
      <c r="E356" s="295"/>
      <c r="F356" s="295"/>
      <c r="G356" s="295"/>
      <c r="H356" s="295"/>
    </row>
    <row r="357" spans="1:9" ht="22.5">
      <c r="A357" s="259" t="s">
        <v>612</v>
      </c>
      <c r="B357" s="296" t="s">
        <v>613</v>
      </c>
      <c r="C357" s="260" t="s">
        <v>383</v>
      </c>
      <c r="D357" s="261">
        <v>45182</v>
      </c>
      <c r="E357" s="258">
        <v>4.1999989500000003</v>
      </c>
      <c r="F357" s="257">
        <v>59.92</v>
      </c>
      <c r="G357" s="257">
        <v>251.66</v>
      </c>
      <c r="H357" s="253">
        <v>3.5381226096364001E-5</v>
      </c>
    </row>
    <row r="358" spans="1:9">
      <c r="A358" s="295"/>
      <c r="B358" s="296"/>
      <c r="C358" s="295"/>
      <c r="D358" s="295"/>
      <c r="E358" s="295"/>
      <c r="F358" s="295"/>
      <c r="G358" s="295"/>
      <c r="H358" s="295"/>
    </row>
    <row r="359" spans="1:9">
      <c r="A359" s="295"/>
      <c r="B359" s="296"/>
      <c r="C359" s="295"/>
      <c r="D359" s="295"/>
      <c r="E359" s="295"/>
      <c r="F359" s="295"/>
      <c r="G359" s="295"/>
      <c r="H359" s="295"/>
    </row>
    <row r="360" spans="1:9" ht="22.5">
      <c r="A360" s="259" t="s">
        <v>614</v>
      </c>
      <c r="B360" s="296" t="s">
        <v>615</v>
      </c>
      <c r="C360" s="260" t="s">
        <v>383</v>
      </c>
      <c r="D360" s="261">
        <v>44855.459456168981</v>
      </c>
      <c r="E360" s="258">
        <v>1.05</v>
      </c>
      <c r="F360" s="257">
        <v>45</v>
      </c>
      <c r="G360" s="257">
        <v>47.25</v>
      </c>
      <c r="H360" s="253">
        <v>6.6429425933926703E-6</v>
      </c>
    </row>
    <row r="361" spans="1:9">
      <c r="A361" s="295"/>
      <c r="B361" s="296"/>
      <c r="C361" s="295"/>
      <c r="D361" s="295"/>
      <c r="E361" s="295"/>
      <c r="F361" s="295"/>
      <c r="G361" s="295"/>
      <c r="H361" s="295"/>
    </row>
    <row r="362" spans="1:9">
      <c r="A362" s="295"/>
      <c r="B362" s="296"/>
      <c r="C362" s="295"/>
      <c r="D362" s="295"/>
      <c r="E362" s="295"/>
      <c r="F362" s="295"/>
      <c r="G362" s="295"/>
      <c r="H362" s="295"/>
    </row>
    <row r="363" spans="1:9">
      <c r="A363" s="259" t="s">
        <v>616</v>
      </c>
      <c r="B363" s="296" t="s">
        <v>617</v>
      </c>
      <c r="C363" s="260" t="s">
        <v>618</v>
      </c>
      <c r="D363" s="261">
        <v>44811.448305011574</v>
      </c>
      <c r="E363" s="258">
        <v>2814.2749687999999</v>
      </c>
      <c r="F363" s="257">
        <v>1.6</v>
      </c>
      <c r="G363" s="257">
        <v>4502.84</v>
      </c>
      <c r="H363" s="253">
        <v>6.3306047888322199E-4</v>
      </c>
    </row>
    <row r="364" spans="1:9" ht="22.5">
      <c r="A364" s="259" t="s">
        <v>619</v>
      </c>
      <c r="B364" s="296" t="s">
        <v>620</v>
      </c>
      <c r="C364" s="260" t="s">
        <v>353</v>
      </c>
      <c r="D364" s="261">
        <v>44868.664666550925</v>
      </c>
      <c r="E364" s="258">
        <v>7.5862499999999997</v>
      </c>
      <c r="F364" s="257">
        <v>97.91</v>
      </c>
      <c r="G364" s="257">
        <v>742.77</v>
      </c>
      <c r="H364" s="253">
        <v>1.0442705756813299E-4</v>
      </c>
    </row>
    <row r="365" spans="1:9">
      <c r="A365" s="295"/>
      <c r="B365" s="296"/>
      <c r="C365" s="295"/>
      <c r="D365" s="295"/>
      <c r="E365" s="295"/>
      <c r="F365" s="295"/>
      <c r="G365" s="295"/>
      <c r="H365" s="295"/>
    </row>
    <row r="366" spans="1:9">
      <c r="A366" s="259" t="s">
        <v>621</v>
      </c>
      <c r="B366" s="296" t="s">
        <v>622</v>
      </c>
      <c r="C366" s="260" t="s">
        <v>353</v>
      </c>
      <c r="D366" s="261">
        <v>45182.566792129626</v>
      </c>
      <c r="E366" s="258">
        <v>428.07807127000001</v>
      </c>
      <c r="F366" s="257">
        <v>25.75</v>
      </c>
      <c r="G366" s="257">
        <v>11023.01</v>
      </c>
      <c r="H366" s="253">
        <v>1.54974016161679E-3</v>
      </c>
    </row>
    <row r="367" spans="1:9">
      <c r="A367" s="295"/>
      <c r="B367" s="296"/>
      <c r="C367" s="295"/>
      <c r="D367" s="295"/>
      <c r="E367" s="295"/>
      <c r="F367" s="295"/>
      <c r="G367" s="295"/>
      <c r="H367" s="295"/>
    </row>
    <row r="368" spans="1:9" ht="22.5">
      <c r="A368" s="259" t="s">
        <v>623</v>
      </c>
      <c r="B368" s="296" t="s">
        <v>624</v>
      </c>
      <c r="C368" s="260" t="s">
        <v>353</v>
      </c>
      <c r="D368" s="261">
        <v>45145</v>
      </c>
      <c r="E368" s="258">
        <v>30</v>
      </c>
      <c r="F368" s="257">
        <v>138.07</v>
      </c>
      <c r="G368" s="257">
        <v>4142.1000000000004</v>
      </c>
      <c r="H368" s="253">
        <v>5.8234354531411204E-4</v>
      </c>
    </row>
    <row r="369" spans="1:8">
      <c r="A369" s="259"/>
      <c r="B369" s="296"/>
      <c r="C369" s="260"/>
      <c r="D369" s="261"/>
      <c r="E369" s="258"/>
      <c r="F369" s="257"/>
      <c r="G369" s="257"/>
      <c r="H369" s="253"/>
    </row>
    <row r="370" spans="1:8">
      <c r="A370" s="259"/>
      <c r="B370" s="296"/>
      <c r="C370" s="296"/>
      <c r="D370" s="261"/>
      <c r="E370" s="258"/>
      <c r="F370" s="257"/>
      <c r="G370" s="257"/>
      <c r="H370" s="253"/>
    </row>
  </sheetData>
  <phoneticPr fontId="7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433D4-9A37-45ED-825C-7F0AFDEAA4FB}">
  <sheetPr codeName="Hoja9"/>
  <dimension ref="A1:N25"/>
  <sheetViews>
    <sheetView zoomScale="85" zoomScaleNormal="85" workbookViewId="0">
      <selection activeCell="H21" sqref="H21"/>
    </sheetView>
  </sheetViews>
  <sheetFormatPr baseColWidth="10" defaultColWidth="11.42578125" defaultRowHeight="15"/>
  <cols>
    <col min="1" max="2" width="11.42578125" style="87"/>
    <col min="3" max="3" width="14.42578125" style="87" bestFit="1" customWidth="1"/>
    <col min="4" max="4" width="95.140625" style="87" bestFit="1" customWidth="1"/>
    <col min="5" max="5" width="11.42578125" style="87"/>
    <col min="6" max="6" width="16.42578125" style="87" bestFit="1" customWidth="1"/>
    <col min="7" max="16384" width="11.42578125" style="87"/>
  </cols>
  <sheetData>
    <row r="1" spans="1:14" ht="15.75">
      <c r="C1" s="169" t="s">
        <v>123</v>
      </c>
      <c r="D1" s="111" t="s">
        <v>124</v>
      </c>
    </row>
    <row r="2" spans="1:14" ht="15.75">
      <c r="A2" s="448" t="e" vm="2">
        <v>#VALUE!</v>
      </c>
      <c r="B2" s="448"/>
      <c r="C2" s="107" t="s">
        <v>85</v>
      </c>
      <c r="D2" s="108" t="s">
        <v>125</v>
      </c>
      <c r="F2" s="170" t="s">
        <v>126</v>
      </c>
    </row>
    <row r="3" spans="1:14" ht="15.75">
      <c r="A3" s="448"/>
      <c r="B3" s="448"/>
      <c r="C3" s="107" t="s">
        <v>72</v>
      </c>
      <c r="D3" s="312" t="s">
        <v>127</v>
      </c>
      <c r="F3" s="108" t="str">
        <f>D2</f>
        <v>CKA000522V19</v>
      </c>
    </row>
    <row r="4" spans="1:14" ht="15.75">
      <c r="A4" s="448"/>
      <c r="B4" s="448"/>
      <c r="C4" s="108"/>
      <c r="D4" s="312"/>
      <c r="F4" s="108" t="str">
        <f>D10</f>
        <v>CSD160518RY1</v>
      </c>
    </row>
    <row r="5" spans="1:14" ht="15.6" customHeight="1">
      <c r="A5" s="448"/>
      <c r="B5" s="448"/>
      <c r="C5" s="107" t="s">
        <v>74</v>
      </c>
      <c r="D5" s="111" t="s">
        <v>128</v>
      </c>
      <c r="F5" s="108"/>
    </row>
    <row r="6" spans="1:14" ht="15.75">
      <c r="C6" s="107" t="s">
        <v>75</v>
      </c>
      <c r="D6" s="111" t="s">
        <v>129</v>
      </c>
      <c r="F6" s="108"/>
    </row>
    <row r="9" spans="1:14" ht="15.75">
      <c r="A9" s="309" t="e" vm="3">
        <v>#VALUE!</v>
      </c>
      <c r="B9" s="309"/>
      <c r="C9" s="169" t="s">
        <v>123</v>
      </c>
      <c r="D9" s="111" t="s">
        <v>130</v>
      </c>
    </row>
    <row r="10" spans="1:14" ht="18">
      <c r="A10" s="309"/>
      <c r="B10" s="309"/>
      <c r="C10" s="169" t="s">
        <v>85</v>
      </c>
      <c r="D10" s="111" t="s">
        <v>70</v>
      </c>
      <c r="L10" s="76"/>
      <c r="M10" s="105"/>
      <c r="N10" s="76"/>
    </row>
    <row r="11" spans="1:14" ht="15.6" customHeight="1">
      <c r="A11" s="309"/>
      <c r="B11" s="309"/>
      <c r="C11" s="169" t="s">
        <v>72</v>
      </c>
      <c r="D11" s="449" t="s">
        <v>131</v>
      </c>
      <c r="L11" s="76"/>
      <c r="M11" s="76"/>
      <c r="N11" s="76"/>
    </row>
    <row r="12" spans="1:14" ht="15.6" customHeight="1">
      <c r="A12" s="309"/>
      <c r="B12" s="309"/>
      <c r="C12" s="169"/>
      <c r="D12" s="449"/>
      <c r="L12" s="76"/>
    </row>
    <row r="13" spans="1:14" ht="15.75">
      <c r="A13" s="71"/>
      <c r="B13" s="71"/>
      <c r="C13" s="169" t="s">
        <v>74</v>
      </c>
      <c r="D13" s="111" t="s">
        <v>132</v>
      </c>
      <c r="L13" s="76"/>
    </row>
    <row r="14" spans="1:14" ht="15.75">
      <c r="A14" s="76"/>
      <c r="C14" s="169" t="s">
        <v>75</v>
      </c>
      <c r="D14" s="111" t="s">
        <v>133</v>
      </c>
    </row>
    <row r="15" spans="1:14" ht="15.75">
      <c r="A15" s="76"/>
    </row>
    <row r="17" spans="4:4">
      <c r="D17" s="171"/>
    </row>
    <row r="18" spans="4:4" ht="75">
      <c r="D18" s="172" t="str" cm="1">
        <f t="array" ref="D18">_xlfn.IFS(B_PRESUPUESTO!C3='03_REF_DATOS'!F4,'03_REF_DATOS'!D22,B_PRESUPUESTO!C3='03_REF_DATOS'!F3,'03_REF_DATOS'!D24)</f>
        <v>_______________________________________________
Arq. José Luis González Moreno
Dirección de Proyectos
(55) 1912 9929
joseluis.gonzalez@dyven.com.mx</v>
      </c>
    </row>
    <row r="20" spans="4:4">
      <c r="D20" s="171"/>
    </row>
    <row r="22" spans="4:4" ht="75">
      <c r="D22" s="172" t="s">
        <v>134</v>
      </c>
    </row>
    <row r="24" spans="4:4" ht="75">
      <c r="D24" s="172" t="s">
        <v>135</v>
      </c>
    </row>
    <row r="25" spans="4:4">
      <c r="D25" s="173"/>
    </row>
  </sheetData>
  <mergeCells count="4">
    <mergeCell ref="A2:B5"/>
    <mergeCell ref="D3:D4"/>
    <mergeCell ref="A9:B12"/>
    <mergeCell ref="D11:D1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5CBAD6-443C-4A61-96D3-0570D2654E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5</vt:i4>
      </vt:variant>
    </vt:vector>
  </HeadingPairs>
  <TitlesOfParts>
    <vt:vector size="14" baseType="lpstr">
      <vt:lpstr>01_DATOS_GENERALES</vt:lpstr>
      <vt:lpstr>A_RESUMEN</vt:lpstr>
      <vt:lpstr>B_PRESUPUESTO</vt:lpstr>
      <vt:lpstr>C_SOBRECOSTO</vt:lpstr>
      <vt:lpstr>D_CONTROL_KARKOR</vt:lpstr>
      <vt:lpstr>D_CONTROL_DYVEN</vt:lpstr>
      <vt:lpstr>E_RESUMEN_MAT</vt:lpstr>
      <vt:lpstr>02_REF_TAB</vt:lpstr>
      <vt:lpstr>03_REF_DATOS</vt:lpstr>
      <vt:lpstr>B_PRESUPUESTO!Área_de_impresión</vt:lpstr>
      <vt:lpstr>C_SOBRECOSTO!Área_de_impresión</vt:lpstr>
      <vt:lpstr>B_PRESUPUESTO!Títulos_a_imprimir</vt:lpstr>
      <vt:lpstr>C_SOBRECOSTO!Títulos_a_imprimir</vt:lpstr>
      <vt:lpstr>E_RESUMEN_MAT!Títulos_a_imprimir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David Camacho Ramirez</dc:creator>
  <cp:lastModifiedBy>MME .</cp:lastModifiedBy>
  <cp:lastPrinted>2025-04-10T16:28:58Z</cp:lastPrinted>
  <dcterms:created xsi:type="dcterms:W3CDTF">2025-03-27T15:41:16Z</dcterms:created>
  <dcterms:modified xsi:type="dcterms:W3CDTF">2025-05-16T17:53:01Z</dcterms:modified>
</cp:coreProperties>
</file>